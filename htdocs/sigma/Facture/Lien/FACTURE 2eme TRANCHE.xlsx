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84" yWindow="120" windowWidth="14628" windowHeight="8736" activeTab="3"/>
  </bookViews>
  <sheets>
    <sheet name="1ere TRANCHE" sheetId="1" r:id="rId1"/>
    <sheet name="2eme TRANCHE" sheetId="3" r:id="rId2"/>
    <sheet name="1 et 2 TRANCHE." sheetId="4" r:id="rId3"/>
    <sheet name="facture (2)" sheetId="7" r:id="rId4"/>
  </sheets>
  <definedNames>
    <definedName name="_xlnm.Print_Titles" localSheetId="2">'1 et 2 TRANCHE.'!$1:$1</definedName>
    <definedName name="_xlnm.Print_Titles" localSheetId="0">'1ere TRANCHE'!$1:$1</definedName>
    <definedName name="_xlnm.Print_Titles" localSheetId="1">'2eme TRANCHE'!$1:$1</definedName>
    <definedName name="_xlnm.Print_Titles" localSheetId="3">'facture (2)'!$14:$14</definedName>
    <definedName name="_xlnm.Print_Area" localSheetId="3">'facture (2)'!$A$1:$G$128</definedName>
  </definedNames>
  <calcPr calcId="125725"/>
</workbook>
</file>

<file path=xl/calcChain.xml><?xml version="1.0" encoding="utf-8"?>
<calcChain xmlns="http://schemas.openxmlformats.org/spreadsheetml/2006/main">
  <c r="G105" i="7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07" l="1"/>
  <c r="G108" s="1"/>
  <c r="G109" s="1"/>
  <c r="G111" s="1"/>
</calcChain>
</file>

<file path=xl/sharedStrings.xml><?xml version="1.0" encoding="utf-8"?>
<sst xmlns="http://schemas.openxmlformats.org/spreadsheetml/2006/main" count="674" uniqueCount="81">
  <si>
    <t>N°</t>
  </si>
  <si>
    <t>Complexe sportif</t>
  </si>
  <si>
    <t>Attestation demandée</t>
  </si>
  <si>
    <t>DATE</t>
  </si>
  <si>
    <t>OBSERVATION</t>
  </si>
  <si>
    <t>01</t>
  </si>
  <si>
    <t>Sans Réserves</t>
  </si>
  <si>
    <t>Voir compte rendue</t>
  </si>
  <si>
    <t>03</t>
  </si>
  <si>
    <t>Terrains Association Féminine</t>
  </si>
  <si>
    <t xml:space="preserve">Attestation de conformité de l'instatalation électrique </t>
  </si>
  <si>
    <t>Attestation de conformité de l'instalation de gaz</t>
  </si>
  <si>
    <t>Attestation de conformité de l'instalation de détection et de lute contre les incendies</t>
  </si>
  <si>
    <t xml:space="preserve">Attestation de conformité du local chaufferie </t>
  </si>
  <si>
    <t>04</t>
  </si>
  <si>
    <t>Complexe sportif Taieb Ben Ammar Omran 1</t>
  </si>
  <si>
    <t>05</t>
  </si>
  <si>
    <t>El omran 2</t>
  </si>
  <si>
    <t xml:space="preserve">Attestation de conformité de l'instalation de gaz </t>
  </si>
  <si>
    <t>06</t>
  </si>
  <si>
    <t>El omran 3</t>
  </si>
  <si>
    <t>Attestation de conformité de l'instalation de détection et de lute contr</t>
  </si>
  <si>
    <t>Terrains El Hilal sport</t>
  </si>
  <si>
    <t>08</t>
  </si>
  <si>
    <t>09</t>
  </si>
  <si>
    <t>Salle el Gorjeni et terrains de plein air</t>
  </si>
  <si>
    <t>Terrain el Ouardia</t>
  </si>
  <si>
    <t>12</t>
  </si>
  <si>
    <t>Salle Bougatfa ouardia</t>
  </si>
  <si>
    <t>13</t>
  </si>
  <si>
    <t xml:space="preserve">Attestation de conformité  de l'instatalation électrique </t>
  </si>
  <si>
    <t>Terrain Kermesse Montfleury</t>
  </si>
  <si>
    <t>Parc A</t>
  </si>
  <si>
    <t xml:space="preserve">Parc B </t>
  </si>
  <si>
    <t>02</t>
  </si>
  <si>
    <t>10</t>
  </si>
  <si>
    <t>Terrain Moncef Belkhir Gbel Jloud</t>
  </si>
  <si>
    <t xml:space="preserve">terrain Ali Belahaouene Mellassine </t>
  </si>
  <si>
    <t>SALLE KAADIN BEB SOUIKA</t>
  </si>
  <si>
    <t>SALLE COUVERTE ETAYARAN</t>
  </si>
  <si>
    <t>07</t>
  </si>
  <si>
    <t>SALLE HEDI KHEFECHA MENZAH 1.</t>
  </si>
  <si>
    <t>TARRAIN KHADHRA</t>
  </si>
  <si>
    <t>TERRAIN HRAIRIA</t>
  </si>
  <si>
    <t xml:space="preserve">inaccesible </t>
  </si>
  <si>
    <t>TERRAIN OMRAN SUPERIEUR</t>
  </si>
  <si>
    <t>TERRAIN ETTAHRIR</t>
  </si>
  <si>
    <t>Attestation de solidite de la structure</t>
  </si>
  <si>
    <t>STADE CHEDLY ZWITEN</t>
  </si>
  <si>
    <t>11</t>
  </si>
  <si>
    <t>14</t>
  </si>
  <si>
    <t>15</t>
  </si>
  <si>
    <t>16</t>
  </si>
  <si>
    <t>17</t>
  </si>
  <si>
    <t>18</t>
  </si>
  <si>
    <t>19</t>
  </si>
  <si>
    <t>20</t>
  </si>
  <si>
    <t>21</t>
  </si>
  <si>
    <t>Affaire :</t>
  </si>
  <si>
    <t>Obtention des attestations des conformité des complexes sportives de municipalité de Tunis</t>
  </si>
  <si>
    <t>Messieurs,</t>
  </si>
  <si>
    <t>Dans le cadre de notre convention nous avons l’honneur de vous adresser la présente facture pour paiement à la réception, sauf objection de votre part.</t>
  </si>
  <si>
    <t>Qté</t>
  </si>
  <si>
    <t>Prix Total H.TVA</t>
  </si>
  <si>
    <t>Total Général H.TVA :</t>
  </si>
  <si>
    <t>Montnat de la TVA  13%</t>
  </si>
  <si>
    <t>Total Général  TTC :</t>
  </si>
  <si>
    <t>Demeurant à votre  entière disposition pour tous  renseignements complémentaires,  nous vous prions de croire, Messieurs, l’expression de notre parfaite considération.</t>
  </si>
  <si>
    <r>
      <t>Pièce jointe</t>
    </r>
    <r>
      <rPr>
        <sz val="10"/>
        <color theme="1"/>
        <rFont val="Times New Roman"/>
        <family val="1"/>
      </rPr>
      <t> :</t>
    </r>
  </si>
  <si>
    <t>* 05 copie de la facture</t>
  </si>
  <si>
    <t xml:space="preserve">* Copie du bon de commande </t>
  </si>
  <si>
    <t>* Identité bancaire</t>
  </si>
  <si>
    <t>* Attestations de conformité</t>
  </si>
  <si>
    <t>* Rapports des visites</t>
  </si>
  <si>
    <t>SIGMA CONTROLE</t>
  </si>
  <si>
    <t>Montant de la facture n°1 ordonnancé</t>
  </si>
  <si>
    <t>Montant de la facture n°2 à délivré</t>
  </si>
  <si>
    <t xml:space="preserve">Prix Unitaire </t>
  </si>
  <si>
    <r>
      <t xml:space="preserve">Arrêter la présente facture à la somme de : </t>
    </r>
    <r>
      <rPr>
        <b/>
        <sz val="10"/>
        <color theme="1"/>
        <rFont val="Times New Roman"/>
        <family val="1"/>
      </rPr>
      <t>Cinq mille huit cent quatre vingt dix huit dinars 600 Millimes, dont la TVA de 13 %, est de (678,600 dt)Six cent soixante dix huit dinars 600 Millimes.</t>
    </r>
  </si>
  <si>
    <t>FACTURE 33/2022</t>
  </si>
  <si>
    <t>Tunis, le 29/07/2022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</si>
</sst>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0.000"/>
    <numFmt numFmtId="166" formatCode="0.0"/>
  </numFmts>
  <fonts count="19">
    <font>
      <sz val="11"/>
      <color theme="1"/>
      <name val="Calibri"/>
      <family val="2"/>
      <scheme val="minor"/>
    </font>
    <font>
      <b/>
      <i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1"/>
      <name val="Times New Roman"/>
      <family val="1"/>
      <charset val="178"/>
    </font>
    <font>
      <b/>
      <sz val="14"/>
      <color theme="1"/>
      <name val="Times New Roman"/>
      <family val="1"/>
    </font>
    <font>
      <sz val="9"/>
      <color theme="1"/>
      <name val="Calibri"/>
      <family val="2"/>
      <scheme val="minor"/>
    </font>
    <font>
      <sz val="9"/>
      <color rgb="FFFF0000"/>
      <name val="Times New Roman"/>
      <family val="1"/>
    </font>
    <font>
      <b/>
      <sz val="9"/>
      <name val="Times New Roman"/>
      <family val="1"/>
      <charset val="17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hair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indexed="64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hair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</borders>
  <cellStyleXfs count="1">
    <xf numFmtId="0" fontId="0" fillId="0" borderId="0"/>
  </cellStyleXfs>
  <cellXfs count="215">
    <xf numFmtId="0" fontId="0" fillId="0" borderId="0" xfId="0"/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Font="1"/>
    <xf numFmtId="0" fontId="2" fillId="2" borderId="20" xfId="0" applyFont="1" applyFill="1" applyBorder="1"/>
    <xf numFmtId="164" fontId="3" fillId="2" borderId="16" xfId="0" applyNumberFormat="1" applyFont="1" applyFill="1" applyBorder="1" applyAlignment="1">
      <alignment horizontal="center" vertical="center"/>
    </xf>
    <xf numFmtId="0" fontId="2" fillId="3" borderId="14" xfId="0" applyFont="1" applyFill="1" applyBorder="1"/>
    <xf numFmtId="0" fontId="2" fillId="2" borderId="14" xfId="0" applyFont="1" applyFill="1" applyBorder="1" applyAlignment="1">
      <alignment wrapText="1"/>
    </xf>
    <xf numFmtId="0" fontId="2" fillId="3" borderId="16" xfId="0" applyFont="1" applyFill="1" applyBorder="1"/>
    <xf numFmtId="0" fontId="2" fillId="3" borderId="7" xfId="0" applyFont="1" applyFill="1" applyBorder="1"/>
    <xf numFmtId="0" fontId="2" fillId="3" borderId="10" xfId="0" applyFont="1" applyFill="1" applyBorder="1"/>
    <xf numFmtId="0" fontId="2" fillId="3" borderId="19" xfId="0" applyFont="1" applyFill="1" applyBorder="1"/>
    <xf numFmtId="0" fontId="2" fillId="3" borderId="18" xfId="0" applyFont="1" applyFill="1" applyBorder="1"/>
    <xf numFmtId="49" fontId="0" fillId="0" borderId="0" xfId="0" applyNumberFormat="1" applyFont="1"/>
    <xf numFmtId="0" fontId="0" fillId="0" borderId="0" xfId="0" applyFont="1" applyAlignment="1">
      <alignment wrapText="1"/>
    </xf>
    <xf numFmtId="0" fontId="0" fillId="0" borderId="0" xfId="0" applyFont="1" applyBorder="1"/>
    <xf numFmtId="14" fontId="0" fillId="0" borderId="0" xfId="0" applyNumberFormat="1" applyFont="1" applyFill="1" applyBorder="1" applyAlignment="1">
      <alignment horizontal="center" vertical="center"/>
    </xf>
    <xf numFmtId="164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4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17" xfId="0" applyFont="1" applyFill="1" applyBorder="1"/>
    <xf numFmtId="164" fontId="3" fillId="0" borderId="5" xfId="0" applyNumberFormat="1" applyFont="1" applyFill="1" applyBorder="1" applyAlignment="1">
      <alignment horizontal="center" vertical="center"/>
    </xf>
    <xf numFmtId="164" fontId="3" fillId="0" borderId="14" xfId="0" applyNumberFormat="1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vertical="top" wrapText="1"/>
    </xf>
    <xf numFmtId="164" fontId="3" fillId="0" borderId="16" xfId="0" applyNumberFormat="1" applyFont="1" applyFill="1" applyBorder="1" applyAlignment="1">
      <alignment horizontal="center" vertical="center"/>
    </xf>
    <xf numFmtId="0" fontId="2" fillId="0" borderId="21" xfId="0" applyFont="1" applyFill="1" applyBorder="1"/>
    <xf numFmtId="0" fontId="2" fillId="0" borderId="7" xfId="0" applyFont="1" applyFill="1" applyBorder="1" applyAlignment="1">
      <alignment wrapText="1"/>
    </xf>
    <xf numFmtId="0" fontId="2" fillId="0" borderId="20" xfId="0" applyFont="1" applyFill="1" applyBorder="1"/>
    <xf numFmtId="164" fontId="3" fillId="0" borderId="20" xfId="0" applyNumberFormat="1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wrapText="1"/>
    </xf>
    <xf numFmtId="164" fontId="3" fillId="0" borderId="25" xfId="0" applyNumberFormat="1" applyFont="1" applyFill="1" applyBorder="1" applyAlignment="1">
      <alignment horizontal="center" vertical="center"/>
    </xf>
    <xf numFmtId="0" fontId="2" fillId="0" borderId="3" xfId="0" applyFont="1" applyFill="1" applyBorder="1"/>
    <xf numFmtId="0" fontId="2" fillId="0" borderId="18" xfId="0" applyFont="1" applyFill="1" applyBorder="1" applyAlignment="1">
      <alignment wrapText="1"/>
    </xf>
    <xf numFmtId="164" fontId="3" fillId="0" borderId="26" xfId="0" applyNumberFormat="1" applyFont="1" applyFill="1" applyBorder="1" applyAlignment="1">
      <alignment horizontal="center" vertical="center"/>
    </xf>
    <xf numFmtId="164" fontId="3" fillId="0" borderId="8" xfId="0" applyNumberFormat="1" applyFont="1" applyFill="1" applyBorder="1" applyAlignment="1">
      <alignment horizontal="center" vertical="center"/>
    </xf>
    <xf numFmtId="0" fontId="2" fillId="3" borderId="27" xfId="0" applyFont="1" applyFill="1" applyBorder="1"/>
    <xf numFmtId="164" fontId="3" fillId="0" borderId="11" xfId="0" applyNumberFormat="1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164" fontId="4" fillId="0" borderId="4" xfId="0" applyNumberFormat="1" applyFont="1" applyFill="1" applyBorder="1" applyAlignment="1">
      <alignment horizontal="center" vertical="center"/>
    </xf>
    <xf numFmtId="164" fontId="4" fillId="0" borderId="20" xfId="0" applyNumberFormat="1" applyFont="1" applyFill="1" applyBorder="1" applyAlignment="1">
      <alignment horizontal="center" vertical="center"/>
    </xf>
    <xf numFmtId="0" fontId="0" fillId="0" borderId="0" xfId="0" applyFont="1" applyFill="1" applyBorder="1"/>
    <xf numFmtId="0" fontId="0" fillId="2" borderId="0" xfId="0" applyFont="1" applyFill="1"/>
    <xf numFmtId="0" fontId="2" fillId="2" borderId="19" xfId="0" applyFont="1" applyFill="1" applyBorder="1"/>
    <xf numFmtId="0" fontId="2" fillId="2" borderId="18" xfId="0" applyFont="1" applyFill="1" applyBorder="1" applyAlignment="1">
      <alignment vertical="top" wrapText="1"/>
    </xf>
    <xf numFmtId="0" fontId="2" fillId="2" borderId="18" xfId="0" applyFont="1" applyFill="1" applyBorder="1"/>
    <xf numFmtId="0" fontId="2" fillId="2" borderId="17" xfId="0" applyFont="1" applyFill="1" applyBorder="1"/>
    <xf numFmtId="0" fontId="2" fillId="2" borderId="10" xfId="0" applyFont="1" applyFill="1" applyBorder="1"/>
    <xf numFmtId="0" fontId="2" fillId="2" borderId="7" xfId="0" applyFont="1" applyFill="1" applyBorder="1" applyAlignment="1">
      <alignment wrapText="1"/>
    </xf>
    <xf numFmtId="0" fontId="2" fillId="2" borderId="7" xfId="0" applyFont="1" applyFill="1" applyBorder="1"/>
    <xf numFmtId="0" fontId="2" fillId="2" borderId="21" xfId="0" applyFont="1" applyFill="1" applyBorder="1"/>
    <xf numFmtId="0" fontId="2" fillId="2" borderId="16" xfId="0" applyFont="1" applyFill="1" applyBorder="1"/>
    <xf numFmtId="0" fontId="2" fillId="2" borderId="14" xfId="0" applyFont="1" applyFill="1" applyBorder="1"/>
    <xf numFmtId="164" fontId="4" fillId="0" borderId="1" xfId="0" applyNumberFormat="1" applyFont="1" applyFill="1" applyBorder="1" applyAlignment="1">
      <alignment horizontal="center" vertical="center"/>
    </xf>
    <xf numFmtId="0" fontId="2" fillId="2" borderId="23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5" fillId="0" borderId="0" xfId="0" applyFont="1"/>
    <xf numFmtId="0" fontId="7" fillId="2" borderId="0" xfId="0" applyFont="1" applyFill="1" applyBorder="1"/>
    <xf numFmtId="0" fontId="8" fillId="2" borderId="0" xfId="0" applyFont="1" applyFill="1" applyAlignment="1">
      <alignment horizontal="justify"/>
    </xf>
    <xf numFmtId="0" fontId="8" fillId="0" borderId="0" xfId="0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2" borderId="20" xfId="0" applyFont="1" applyFill="1" applyBorder="1"/>
    <xf numFmtId="166" fontId="12" fillId="0" borderId="33" xfId="0" applyNumberFormat="1" applyFont="1" applyFill="1" applyBorder="1" applyAlignment="1">
      <alignment horizontal="center" vertical="center" wrapText="1"/>
    </xf>
    <xf numFmtId="165" fontId="12" fillId="0" borderId="33" xfId="0" applyNumberFormat="1" applyFont="1" applyFill="1" applyBorder="1" applyAlignment="1">
      <alignment horizontal="center" vertical="center" wrapText="1"/>
    </xf>
    <xf numFmtId="0" fontId="11" fillId="2" borderId="14" xfId="0" applyFont="1" applyFill="1" applyBorder="1"/>
    <xf numFmtId="0" fontId="11" fillId="2" borderId="14" xfId="0" applyFont="1" applyFill="1" applyBorder="1" applyAlignment="1">
      <alignment wrapText="1"/>
    </xf>
    <xf numFmtId="0" fontId="11" fillId="2" borderId="16" xfId="0" applyFont="1" applyFill="1" applyBorder="1"/>
    <xf numFmtId="0" fontId="11" fillId="2" borderId="23" xfId="0" applyFont="1" applyFill="1" applyBorder="1"/>
    <xf numFmtId="0" fontId="11" fillId="2" borderId="21" xfId="0" applyFont="1" applyFill="1" applyBorder="1"/>
    <xf numFmtId="0" fontId="11" fillId="2" borderId="7" xfId="0" applyFont="1" applyFill="1" applyBorder="1"/>
    <xf numFmtId="0" fontId="11" fillId="2" borderId="7" xfId="0" applyFont="1" applyFill="1" applyBorder="1" applyAlignment="1">
      <alignment wrapText="1"/>
    </xf>
    <xf numFmtId="0" fontId="11" fillId="2" borderId="10" xfId="0" applyFont="1" applyFill="1" applyBorder="1"/>
    <xf numFmtId="0" fontId="11" fillId="2" borderId="18" xfId="0" applyFont="1" applyFill="1" applyBorder="1"/>
    <xf numFmtId="0" fontId="11" fillId="2" borderId="18" xfId="0" applyFont="1" applyFill="1" applyBorder="1" applyAlignment="1">
      <alignment vertical="top" wrapText="1"/>
    </xf>
    <xf numFmtId="165" fontId="12" fillId="0" borderId="34" xfId="0" applyNumberFormat="1" applyFont="1" applyFill="1" applyBorder="1" applyAlignment="1">
      <alignment horizontal="center" vertical="center" wrapText="1"/>
    </xf>
    <xf numFmtId="165" fontId="12" fillId="0" borderId="35" xfId="0" applyNumberFormat="1" applyFont="1" applyFill="1" applyBorder="1" applyAlignment="1">
      <alignment horizontal="center" vertical="center" wrapText="1"/>
    </xf>
    <xf numFmtId="165" fontId="12" fillId="0" borderId="36" xfId="0" applyNumberFormat="1" applyFont="1" applyFill="1" applyBorder="1" applyAlignment="1">
      <alignment horizontal="center" vertical="center" wrapText="1"/>
    </xf>
    <xf numFmtId="165" fontId="12" fillId="0" borderId="37" xfId="0" applyNumberFormat="1" applyFont="1" applyFill="1" applyBorder="1" applyAlignment="1">
      <alignment horizontal="center" vertical="center" wrapText="1"/>
    </xf>
    <xf numFmtId="0" fontId="11" fillId="2" borderId="19" xfId="0" applyFont="1" applyFill="1" applyBorder="1"/>
    <xf numFmtId="165" fontId="12" fillId="0" borderId="38" xfId="0" applyNumberFormat="1" applyFont="1" applyFill="1" applyBorder="1" applyAlignment="1">
      <alignment horizontal="center" vertical="center" wrapText="1"/>
    </xf>
    <xf numFmtId="165" fontId="12" fillId="0" borderId="39" xfId="0" applyNumberFormat="1" applyFont="1" applyFill="1" applyBorder="1" applyAlignment="1">
      <alignment horizontal="center" vertical="center" wrapText="1"/>
    </xf>
    <xf numFmtId="165" fontId="12" fillId="0" borderId="1" xfId="0" applyNumberFormat="1" applyFont="1" applyFill="1" applyBorder="1" applyAlignment="1">
      <alignment horizontal="center" vertical="center" wrapText="1"/>
    </xf>
    <xf numFmtId="0" fontId="0" fillId="0" borderId="0" xfId="0" applyBorder="1"/>
    <xf numFmtId="0" fontId="13" fillId="0" borderId="0" xfId="0" applyFont="1" applyBorder="1"/>
    <xf numFmtId="165" fontId="14" fillId="0" borderId="0" xfId="0" applyNumberFormat="1" applyFont="1" applyFill="1" applyBorder="1" applyAlignment="1">
      <alignment horizontal="right"/>
    </xf>
    <xf numFmtId="165" fontId="15" fillId="0" borderId="0" xfId="0" applyNumberFormat="1" applyFont="1" applyBorder="1"/>
    <xf numFmtId="0" fontId="5" fillId="2" borderId="0" xfId="0" applyFont="1" applyFill="1" applyBorder="1" applyAlignment="1">
      <alignment horizontal="center"/>
    </xf>
    <xf numFmtId="0" fontId="7" fillId="2" borderId="0" xfId="0" applyFont="1" applyFill="1"/>
    <xf numFmtId="0" fontId="8" fillId="0" borderId="0" xfId="0" applyFont="1" applyBorder="1"/>
    <xf numFmtId="0" fontId="15" fillId="0" borderId="0" xfId="0" applyFont="1" applyAlignment="1">
      <alignment horizontal="center"/>
    </xf>
    <xf numFmtId="0" fontId="0" fillId="0" borderId="42" xfId="0" applyBorder="1"/>
    <xf numFmtId="165" fontId="14" fillId="0" borderId="43" xfId="0" applyNumberFormat="1" applyFont="1" applyFill="1" applyBorder="1" applyAlignment="1">
      <alignment horizontal="right"/>
    </xf>
    <xf numFmtId="0" fontId="13" fillId="0" borderId="43" xfId="0" applyFont="1" applyBorder="1"/>
    <xf numFmtId="0" fontId="2" fillId="2" borderId="3" xfId="0" applyFont="1" applyFill="1" applyBorder="1"/>
    <xf numFmtId="0" fontId="2" fillId="2" borderId="18" xfId="0" applyFont="1" applyFill="1" applyBorder="1" applyAlignment="1">
      <alignment wrapText="1"/>
    </xf>
    <xf numFmtId="0" fontId="2" fillId="2" borderId="27" xfId="0" applyFont="1" applyFill="1" applyBorder="1"/>
    <xf numFmtId="164" fontId="3" fillId="0" borderId="4" xfId="0" applyNumberFormat="1" applyFont="1" applyFill="1" applyBorder="1" applyAlignment="1">
      <alignment horizontal="center" vertical="center"/>
    </xf>
    <xf numFmtId="166" fontId="12" fillId="0" borderId="44" xfId="0" applyNumberFormat="1" applyFont="1" applyFill="1" applyBorder="1" applyAlignment="1">
      <alignment horizontal="center" vertical="center" wrapText="1"/>
    </xf>
    <xf numFmtId="166" fontId="12" fillId="0" borderId="31" xfId="0" applyNumberFormat="1" applyFont="1" applyFill="1" applyBorder="1" applyAlignment="1">
      <alignment horizontal="center" vertical="center" wrapText="1"/>
    </xf>
    <xf numFmtId="166" fontId="12" fillId="0" borderId="45" xfId="0" applyNumberFormat="1" applyFont="1" applyFill="1" applyBorder="1" applyAlignment="1">
      <alignment horizontal="center" vertical="center" wrapText="1"/>
    </xf>
    <xf numFmtId="166" fontId="12" fillId="0" borderId="46" xfId="0" applyNumberFormat="1" applyFont="1" applyFill="1" applyBorder="1" applyAlignment="1">
      <alignment horizontal="center" vertical="center" wrapText="1"/>
    </xf>
    <xf numFmtId="166" fontId="12" fillId="0" borderId="47" xfId="0" applyNumberFormat="1" applyFont="1" applyFill="1" applyBorder="1" applyAlignment="1">
      <alignment horizontal="center" vertical="center" wrapText="1"/>
    </xf>
    <xf numFmtId="166" fontId="12" fillId="0" borderId="48" xfId="0" applyNumberFormat="1" applyFont="1" applyFill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0" fillId="2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4" borderId="31" xfId="0" applyFont="1" applyFill="1" applyBorder="1" applyAlignment="1">
      <alignment horizontal="center" vertical="center" wrapText="1"/>
    </xf>
    <xf numFmtId="165" fontId="10" fillId="4" borderId="32" xfId="0" applyNumberFormat="1" applyFont="1" applyFill="1" applyBorder="1" applyAlignment="1">
      <alignment horizontal="center" vertical="center" wrapText="1"/>
    </xf>
    <xf numFmtId="0" fontId="16" fillId="0" borderId="0" xfId="0" applyFont="1"/>
    <xf numFmtId="164" fontId="17" fillId="0" borderId="1" xfId="0" applyNumberFormat="1" applyFont="1" applyFill="1" applyBorder="1" applyAlignment="1">
      <alignment horizontal="center" vertical="center"/>
    </xf>
    <xf numFmtId="0" fontId="11" fillId="2" borderId="3" xfId="0" applyFont="1" applyFill="1" applyBorder="1"/>
    <xf numFmtId="164" fontId="12" fillId="0" borderId="4" xfId="0" applyNumberFormat="1" applyFont="1" applyFill="1" applyBorder="1" applyAlignment="1">
      <alignment horizontal="center" vertical="center"/>
    </xf>
    <xf numFmtId="164" fontId="12" fillId="0" borderId="8" xfId="0" applyNumberFormat="1" applyFont="1" applyFill="1" applyBorder="1" applyAlignment="1">
      <alignment horizontal="center" vertical="center"/>
    </xf>
    <xf numFmtId="164" fontId="12" fillId="0" borderId="11" xfId="0" applyNumberFormat="1" applyFont="1" applyFill="1" applyBorder="1" applyAlignment="1">
      <alignment horizontal="center" vertical="center"/>
    </xf>
    <xf numFmtId="0" fontId="11" fillId="2" borderId="17" xfId="0" applyFont="1" applyFill="1" applyBorder="1"/>
    <xf numFmtId="0" fontId="11" fillId="2" borderId="18" xfId="0" applyFont="1" applyFill="1" applyBorder="1" applyAlignment="1">
      <alignment wrapText="1"/>
    </xf>
    <xf numFmtId="164" fontId="12" fillId="0" borderId="26" xfId="0" applyNumberFormat="1" applyFont="1" applyFill="1" applyBorder="1" applyAlignment="1">
      <alignment horizontal="center" vertical="center"/>
    </xf>
    <xf numFmtId="164" fontId="17" fillId="0" borderId="4" xfId="0" applyNumberFormat="1" applyFont="1" applyFill="1" applyBorder="1" applyAlignment="1">
      <alignment horizontal="center" vertical="center"/>
    </xf>
    <xf numFmtId="164" fontId="12" fillId="0" borderId="1" xfId="0" applyNumberFormat="1" applyFont="1" applyFill="1" applyBorder="1" applyAlignment="1">
      <alignment horizontal="center" vertical="center"/>
    </xf>
    <xf numFmtId="164" fontId="12" fillId="2" borderId="11" xfId="0" applyNumberFormat="1" applyFont="1" applyFill="1" applyBorder="1" applyAlignment="1">
      <alignment horizontal="center" vertical="center"/>
    </xf>
    <xf numFmtId="49" fontId="16" fillId="0" borderId="0" xfId="0" applyNumberFormat="1" applyFont="1"/>
    <xf numFmtId="0" fontId="16" fillId="0" borderId="0" xfId="0" applyFont="1" applyAlignment="1">
      <alignment wrapText="1"/>
    </xf>
    <xf numFmtId="0" fontId="16" fillId="2" borderId="0" xfId="0" applyFont="1" applyFill="1"/>
    <xf numFmtId="0" fontId="16" fillId="0" borderId="0" xfId="0" applyFont="1" applyAlignment="1">
      <alignment horizontal="center" vertical="center"/>
    </xf>
    <xf numFmtId="165" fontId="12" fillId="0" borderId="22" xfId="0" applyNumberFormat="1" applyFont="1" applyBorder="1"/>
    <xf numFmtId="165" fontId="12" fillId="0" borderId="23" xfId="0" applyNumberFormat="1" applyFont="1" applyBorder="1"/>
    <xf numFmtId="0" fontId="11" fillId="2" borderId="0" xfId="0" applyFont="1" applyFill="1" applyBorder="1"/>
    <xf numFmtId="165" fontId="12" fillId="0" borderId="49" xfId="0" applyNumberFormat="1" applyFont="1" applyFill="1" applyBorder="1" applyAlignment="1">
      <alignment horizontal="center" vertical="center" wrapText="1"/>
    </xf>
    <xf numFmtId="49" fontId="10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164" fontId="12" fillId="0" borderId="0" xfId="0" applyNumberFormat="1" applyFont="1" applyFill="1" applyBorder="1" applyAlignment="1">
      <alignment horizontal="center" vertical="center"/>
    </xf>
    <xf numFmtId="166" fontId="12" fillId="0" borderId="0" xfId="0" applyNumberFormat="1" applyFont="1" applyFill="1" applyBorder="1" applyAlignment="1">
      <alignment horizontal="center" vertical="center" wrapText="1"/>
    </xf>
    <xf numFmtId="165" fontId="12" fillId="0" borderId="0" xfId="0" applyNumberFormat="1" applyFont="1" applyFill="1" applyBorder="1" applyAlignment="1">
      <alignment horizontal="center" vertical="center" wrapText="1"/>
    </xf>
    <xf numFmtId="14" fontId="2" fillId="0" borderId="6" xfId="0" applyNumberFormat="1" applyFont="1" applyFill="1" applyBorder="1" applyAlignment="1">
      <alignment horizontal="center" vertical="center"/>
    </xf>
    <xf numFmtId="49" fontId="1" fillId="0" borderId="13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14" fontId="2" fillId="3" borderId="6" xfId="0" applyNumberFormat="1" applyFont="1" applyFill="1" applyBorder="1" applyAlignment="1">
      <alignment horizontal="center" vertical="center"/>
    </xf>
    <xf numFmtId="164" fontId="12" fillId="2" borderId="9" xfId="0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 wrapText="1"/>
    </xf>
    <xf numFmtId="165" fontId="12" fillId="0" borderId="9" xfId="0" applyNumberFormat="1" applyFont="1" applyFill="1" applyBorder="1" applyAlignment="1">
      <alignment horizontal="center" vertical="center" wrapText="1"/>
    </xf>
    <xf numFmtId="164" fontId="17" fillId="0" borderId="0" xfId="0" applyNumberFormat="1" applyFont="1" applyFill="1" applyBorder="1" applyAlignment="1">
      <alignment horizontal="center" vertical="center"/>
    </xf>
    <xf numFmtId="165" fontId="12" fillId="0" borderId="24" xfId="0" applyNumberFormat="1" applyFont="1" applyBorder="1" applyAlignment="1">
      <alignment horizontal="right"/>
    </xf>
    <xf numFmtId="165" fontId="12" fillId="0" borderId="23" xfId="0" applyNumberFormat="1" applyFont="1" applyBorder="1" applyAlignment="1">
      <alignment horizontal="right"/>
    </xf>
    <xf numFmtId="0" fontId="1" fillId="0" borderId="30" xfId="0" applyFont="1" applyFill="1" applyBorder="1" applyAlignment="1">
      <alignment horizontal="center" vertical="center" wrapText="1"/>
    </xf>
    <xf numFmtId="0" fontId="2" fillId="2" borderId="0" xfId="0" applyFont="1" applyFill="1" applyBorder="1"/>
    <xf numFmtId="49" fontId="1" fillId="0" borderId="30" xfId="0" applyNumberFormat="1" applyFont="1" applyFill="1" applyBorder="1" applyAlignment="1">
      <alignment horizontal="center" vertical="center"/>
    </xf>
    <xf numFmtId="164" fontId="4" fillId="0" borderId="5" xfId="0" applyNumberFormat="1" applyFont="1" applyFill="1" applyBorder="1" applyAlignment="1">
      <alignment horizontal="center" vertical="center"/>
    </xf>
    <xf numFmtId="14" fontId="2" fillId="0" borderId="4" xfId="0" applyNumberFormat="1" applyFont="1" applyFill="1" applyBorder="1" applyAlignment="1">
      <alignment vertical="center"/>
    </xf>
    <xf numFmtId="14" fontId="2" fillId="0" borderId="8" xfId="0" applyNumberFormat="1" applyFont="1" applyFill="1" applyBorder="1" applyAlignment="1">
      <alignment vertical="center"/>
    </xf>
    <xf numFmtId="14" fontId="2" fillId="0" borderId="11" xfId="0" applyNumberFormat="1" applyFont="1" applyFill="1" applyBorder="1" applyAlignment="1">
      <alignment vertical="center"/>
    </xf>
    <xf numFmtId="14" fontId="2" fillId="3" borderId="8" xfId="0" applyNumberFormat="1" applyFont="1" applyFill="1" applyBorder="1" applyAlignment="1">
      <alignment vertical="center"/>
    </xf>
    <xf numFmtId="49" fontId="1" fillId="0" borderId="12" xfId="0" applyNumberFormat="1" applyFont="1" applyFill="1" applyBorder="1" applyAlignment="1">
      <alignment horizontal="center" vertical="center"/>
    </xf>
    <xf numFmtId="49" fontId="1" fillId="0" borderId="13" xfId="0" applyNumberFormat="1" applyFont="1" applyFill="1" applyBorder="1" applyAlignment="1">
      <alignment horizontal="center" vertical="center"/>
    </xf>
    <xf numFmtId="49" fontId="1" fillId="0" borderId="15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14" fontId="2" fillId="0" borderId="2" xfId="0" applyNumberFormat="1" applyFont="1" applyFill="1" applyBorder="1" applyAlignment="1">
      <alignment horizontal="center" vertical="center"/>
    </xf>
    <xf numFmtId="14" fontId="2" fillId="0" borderId="6" xfId="0" applyNumberFormat="1" applyFont="1" applyFill="1" applyBorder="1" applyAlignment="1">
      <alignment horizontal="center" vertical="center"/>
    </xf>
    <xf numFmtId="14" fontId="2" fillId="0" borderId="9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49" fontId="1" fillId="0" borderId="9" xfId="0" applyNumberFormat="1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14" fontId="2" fillId="0" borderId="4" xfId="0" applyNumberFormat="1" applyFont="1" applyFill="1" applyBorder="1" applyAlignment="1">
      <alignment horizontal="center" vertical="center"/>
    </xf>
    <xf numFmtId="14" fontId="2" fillId="0" borderId="8" xfId="0" applyNumberFormat="1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/>
    </xf>
    <xf numFmtId="14" fontId="2" fillId="2" borderId="6" xfId="0" applyNumberFormat="1" applyFont="1" applyFill="1" applyBorder="1" applyAlignment="1">
      <alignment horizontal="center" vertical="center"/>
    </xf>
    <xf numFmtId="14" fontId="2" fillId="2" borderId="9" xfId="0" applyNumberFormat="1" applyFont="1" applyFill="1" applyBorder="1" applyAlignment="1">
      <alignment horizontal="center" vertical="center"/>
    </xf>
    <xf numFmtId="14" fontId="2" fillId="0" borderId="26" xfId="0" applyNumberFormat="1" applyFont="1" applyFill="1" applyBorder="1" applyAlignment="1">
      <alignment horizontal="center" vertical="center"/>
    </xf>
    <xf numFmtId="14" fontId="2" fillId="0" borderId="22" xfId="0" applyNumberFormat="1" applyFont="1" applyFill="1" applyBorder="1" applyAlignment="1">
      <alignment horizontal="center" vertical="center"/>
    </xf>
    <xf numFmtId="14" fontId="2" fillId="0" borderId="23" xfId="0" applyNumberFormat="1" applyFont="1" applyFill="1" applyBorder="1" applyAlignment="1">
      <alignment horizontal="center" vertical="center"/>
    </xf>
    <xf numFmtId="14" fontId="2" fillId="0" borderId="24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14" fontId="2" fillId="3" borderId="8" xfId="0" applyNumberFormat="1" applyFont="1" applyFill="1" applyBorder="1" applyAlignment="1">
      <alignment horizontal="center" vertical="center"/>
    </xf>
    <xf numFmtId="14" fontId="2" fillId="3" borderId="11" xfId="0" applyNumberFormat="1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14" fontId="2" fillId="3" borderId="6" xfId="0" applyNumberFormat="1" applyFont="1" applyFill="1" applyBorder="1" applyAlignment="1">
      <alignment horizontal="center" vertical="center"/>
    </xf>
    <xf numFmtId="14" fontId="2" fillId="3" borderId="9" xfId="0" applyNumberFormat="1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49" fontId="10" fillId="0" borderId="15" xfId="0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49" fontId="10" fillId="0" borderId="2" xfId="0" applyNumberFormat="1" applyFont="1" applyFill="1" applyBorder="1" applyAlignment="1">
      <alignment horizontal="center" vertical="center"/>
    </xf>
    <xf numFmtId="49" fontId="10" fillId="0" borderId="6" xfId="0" applyNumberFormat="1" applyFont="1" applyFill="1" applyBorder="1" applyAlignment="1">
      <alignment horizontal="center" vertical="center"/>
    </xf>
    <xf numFmtId="49" fontId="10" fillId="0" borderId="9" xfId="0" applyNumberFormat="1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0" fillId="0" borderId="12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10" fillId="0" borderId="15" xfId="0" applyFont="1" applyFill="1" applyBorder="1" applyAlignment="1">
      <alignment horizontal="center" vertical="center" wrapText="1"/>
    </xf>
    <xf numFmtId="165" fontId="18" fillId="0" borderId="40" xfId="0" applyNumberFormat="1" applyFont="1" applyFill="1" applyBorder="1" applyAlignment="1">
      <alignment horizontal="left"/>
    </xf>
    <xf numFmtId="165" fontId="18" fillId="0" borderId="41" xfId="0" applyNumberFormat="1" applyFont="1" applyFill="1" applyBorder="1" applyAlignment="1">
      <alignment horizontal="left"/>
    </xf>
    <xf numFmtId="0" fontId="8" fillId="0" borderId="0" xfId="0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165" fontId="18" fillId="0" borderId="3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165" fontId="18" fillId="0" borderId="28" xfId="0" applyNumberFormat="1" applyFont="1" applyFill="1" applyBorder="1" applyAlignment="1">
      <alignment horizontal="left"/>
    </xf>
    <xf numFmtId="165" fontId="18" fillId="0" borderId="29" xfId="0" applyNumberFormat="1" applyFont="1" applyFill="1" applyBorder="1" applyAlignment="1">
      <alignment horizontal="left"/>
    </xf>
    <xf numFmtId="165" fontId="18" fillId="0" borderId="30" xfId="0" applyNumberFormat="1" applyFont="1" applyFill="1" applyBorder="1" applyAlignment="1">
      <alignment horizontal="left"/>
    </xf>
    <xf numFmtId="165" fontId="18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2567940</xdr:colOff>
      <xdr:row>3</xdr:row>
      <xdr:rowOff>76200</xdr:rowOff>
    </xdr:from>
    <xdr:to>
      <xdr:col>6</xdr:col>
      <xdr:colOff>655320</xdr:colOff>
      <xdr:row>7</xdr:row>
      <xdr:rowOff>0</xdr:rowOff>
    </xdr:to>
    <xdr:sp macro="" textlink="">
      <xdr:nvSpPr>
        <xdr:cNvPr id="2" name="Rectangle 2"/>
        <xdr:cNvSpPr>
          <a:spLocks noChangeArrowheads="1"/>
        </xdr:cNvSpPr>
      </xdr:nvSpPr>
      <xdr:spPr bwMode="auto">
        <a:xfrm>
          <a:off x="3421380" y="251460"/>
          <a:ext cx="2499360" cy="624840"/>
        </a:xfrm>
        <a:prstGeom prst="rect">
          <a:avLst/>
        </a:prstGeom>
        <a:solidFill>
          <a:srgbClr val="FFFFFF">
            <a:alpha val="0"/>
          </a:srgb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REPUBLIQUE TUNISIENNE MUNICIPALITE DE TUNIS</a:t>
          </a:r>
        </a:p>
        <a:p>
          <a:pPr algn="ctr" rtl="0">
            <a:defRPr sz="1000"/>
          </a:pPr>
          <a:r>
            <a:rPr lang="fr-FR" sz="1200" b="1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DIRECTION DE L'URBANISME</a:t>
          </a:r>
        </a:p>
        <a:p>
          <a:pPr algn="l" rtl="0">
            <a:defRPr sz="1000"/>
          </a:pPr>
          <a:endParaRPr lang="fr-FR" sz="1200" b="1" i="0" u="none" strike="noStrike" baseline="0">
            <a:solidFill>
              <a:srgbClr val="333333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fr-FR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fr-FR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workbookViewId="0">
      <pane ySplit="1" topLeftCell="A14" activePane="bottomLeft" state="frozen"/>
      <selection pane="bottomLeft" activeCell="D30" sqref="D30:D33"/>
    </sheetView>
  </sheetViews>
  <sheetFormatPr baseColWidth="10" defaultRowHeight="14.4"/>
  <cols>
    <col min="1" max="1" width="3.6640625" style="15" customWidth="1"/>
    <col min="2" max="2" width="12" style="16" customWidth="1"/>
    <col min="3" max="3" width="43.5546875" style="5" customWidth="1"/>
    <col min="4" max="4" width="11" style="21" customWidth="1"/>
    <col min="5" max="5" width="16.77734375" style="22" customWidth="1"/>
    <col min="6" max="16384" width="11.5546875" style="5"/>
  </cols>
  <sheetData>
    <row r="1" spans="1:6" ht="30" customHeight="1" thickBo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</row>
    <row r="2" spans="1:6" ht="15" customHeight="1">
      <c r="A2" s="159" t="s">
        <v>5</v>
      </c>
      <c r="B2" s="171" t="s">
        <v>9</v>
      </c>
      <c r="C2" s="23" t="s">
        <v>10</v>
      </c>
      <c r="D2" s="174">
        <v>44488</v>
      </c>
      <c r="E2" s="24" t="s">
        <v>6</v>
      </c>
    </row>
    <row r="3" spans="1:6" ht="14.4" customHeight="1">
      <c r="A3" s="160"/>
      <c r="B3" s="172"/>
      <c r="C3" s="14" t="s">
        <v>11</v>
      </c>
      <c r="D3" s="175"/>
      <c r="E3" s="25" t="s">
        <v>6</v>
      </c>
    </row>
    <row r="4" spans="1:6" ht="30" customHeight="1">
      <c r="A4" s="160"/>
      <c r="B4" s="172"/>
      <c r="C4" s="26" t="s">
        <v>12</v>
      </c>
      <c r="D4" s="175"/>
      <c r="E4" s="25" t="s">
        <v>6</v>
      </c>
    </row>
    <row r="5" spans="1:6" ht="15" thickBot="1">
      <c r="A5" s="161"/>
      <c r="B5" s="173"/>
      <c r="C5" s="13" t="s">
        <v>13</v>
      </c>
      <c r="D5" s="176"/>
      <c r="E5" s="27" t="s">
        <v>6</v>
      </c>
    </row>
    <row r="6" spans="1:6" ht="15" thickBot="1">
      <c r="A6" s="159" t="s">
        <v>34</v>
      </c>
      <c r="B6" s="162" t="s">
        <v>15</v>
      </c>
      <c r="C6" s="6" t="s">
        <v>10</v>
      </c>
      <c r="D6" s="177">
        <v>44495</v>
      </c>
      <c r="E6" s="7" t="s">
        <v>6</v>
      </c>
    </row>
    <row r="7" spans="1:6" ht="14.4" customHeight="1">
      <c r="A7" s="160"/>
      <c r="B7" s="163"/>
      <c r="C7" s="8" t="s">
        <v>11</v>
      </c>
      <c r="D7" s="178"/>
      <c r="E7" s="42" t="s">
        <v>7</v>
      </c>
      <c r="F7"/>
    </row>
    <row r="8" spans="1:6" ht="30" customHeight="1" thickBot="1">
      <c r="A8" s="160"/>
      <c r="B8" s="163"/>
      <c r="C8" s="9" t="s">
        <v>12</v>
      </c>
      <c r="D8" s="178"/>
      <c r="E8" s="27" t="s">
        <v>6</v>
      </c>
    </row>
    <row r="9" spans="1:6" ht="15" thickBot="1">
      <c r="A9" s="161"/>
      <c r="B9" s="164"/>
      <c r="C9" s="10" t="s">
        <v>13</v>
      </c>
      <c r="D9" s="179"/>
      <c r="E9" s="27" t="s">
        <v>6</v>
      </c>
    </row>
    <row r="10" spans="1:6">
      <c r="A10" s="159" t="s">
        <v>8</v>
      </c>
      <c r="B10" s="162" t="s">
        <v>17</v>
      </c>
      <c r="C10" s="6" t="s">
        <v>10</v>
      </c>
      <c r="D10" s="165">
        <v>44495</v>
      </c>
      <c r="E10" s="42" t="s">
        <v>7</v>
      </c>
    </row>
    <row r="11" spans="1:6">
      <c r="A11" s="160"/>
      <c r="B11" s="163"/>
      <c r="C11" s="8" t="s">
        <v>18</v>
      </c>
      <c r="D11" s="166"/>
      <c r="E11" s="25" t="s">
        <v>6</v>
      </c>
      <c r="F11"/>
    </row>
    <row r="12" spans="1:6" ht="30" customHeight="1">
      <c r="A12" s="160"/>
      <c r="B12" s="163"/>
      <c r="C12" s="9" t="s">
        <v>12</v>
      </c>
      <c r="D12" s="166"/>
      <c r="E12" s="25" t="s">
        <v>6</v>
      </c>
    </row>
    <row r="13" spans="1:6" ht="15" thickBot="1">
      <c r="A13" s="161"/>
      <c r="B13" s="164"/>
      <c r="C13" s="10" t="s">
        <v>13</v>
      </c>
      <c r="D13" s="167"/>
      <c r="E13" s="25" t="s">
        <v>6</v>
      </c>
    </row>
    <row r="14" spans="1:6">
      <c r="A14" s="159" t="s">
        <v>14</v>
      </c>
      <c r="B14" s="162" t="s">
        <v>20</v>
      </c>
      <c r="C14" s="6" t="s">
        <v>10</v>
      </c>
      <c r="D14" s="165">
        <v>44495</v>
      </c>
      <c r="E14" s="42" t="s">
        <v>7</v>
      </c>
    </row>
    <row r="15" spans="1:6">
      <c r="A15" s="160"/>
      <c r="B15" s="163"/>
      <c r="C15" s="8" t="s">
        <v>18</v>
      </c>
      <c r="D15" s="166"/>
      <c r="E15" s="25" t="s">
        <v>6</v>
      </c>
      <c r="F15"/>
    </row>
    <row r="16" spans="1:6" ht="30" customHeight="1">
      <c r="A16" s="160"/>
      <c r="B16" s="163"/>
      <c r="C16" s="32" t="s">
        <v>21</v>
      </c>
      <c r="D16" s="166"/>
      <c r="E16" s="25" t="s">
        <v>6</v>
      </c>
    </row>
    <row r="17" spans="1:6" ht="15" thickBot="1">
      <c r="A17" s="161"/>
      <c r="B17" s="164"/>
      <c r="C17" s="10" t="s">
        <v>13</v>
      </c>
      <c r="D17" s="180"/>
      <c r="E17" s="25" t="s">
        <v>6</v>
      </c>
    </row>
    <row r="18" spans="1:6">
      <c r="A18" s="168" t="s">
        <v>16</v>
      </c>
      <c r="B18" s="163" t="s">
        <v>22</v>
      </c>
      <c r="C18" s="28" t="s">
        <v>10</v>
      </c>
      <c r="D18" s="166">
        <v>44488</v>
      </c>
      <c r="E18" s="24" t="s">
        <v>6</v>
      </c>
    </row>
    <row r="19" spans="1:6">
      <c r="A19" s="169"/>
      <c r="B19" s="163"/>
      <c r="C19" s="11" t="s">
        <v>18</v>
      </c>
      <c r="D19" s="166"/>
      <c r="E19" s="25" t="s">
        <v>6</v>
      </c>
    </row>
    <row r="20" spans="1:6" ht="30" customHeight="1">
      <c r="A20" s="169"/>
      <c r="B20" s="163"/>
      <c r="C20" s="29" t="s">
        <v>12</v>
      </c>
      <c r="D20" s="166"/>
      <c r="E20" s="25" t="s">
        <v>6</v>
      </c>
    </row>
    <row r="21" spans="1:6" ht="15" thickBot="1">
      <c r="A21" s="170"/>
      <c r="B21" s="164"/>
      <c r="C21" s="12" t="s">
        <v>13</v>
      </c>
      <c r="D21" s="167"/>
      <c r="E21" s="27" t="s">
        <v>6</v>
      </c>
    </row>
    <row r="22" spans="1:6">
      <c r="A22" s="168" t="s">
        <v>19</v>
      </c>
      <c r="B22" s="162" t="s">
        <v>36</v>
      </c>
      <c r="C22" s="30" t="s">
        <v>10</v>
      </c>
      <c r="D22" s="181">
        <v>44489</v>
      </c>
      <c r="E22" s="31" t="s">
        <v>6</v>
      </c>
    </row>
    <row r="23" spans="1:6">
      <c r="A23" s="169"/>
      <c r="B23" s="163"/>
      <c r="C23" s="8" t="s">
        <v>18</v>
      </c>
      <c r="D23" s="182"/>
      <c r="E23" s="25" t="s">
        <v>6</v>
      </c>
    </row>
    <row r="24" spans="1:6" ht="30" customHeight="1">
      <c r="A24" s="169"/>
      <c r="B24" s="163"/>
      <c r="C24" s="32" t="s">
        <v>12</v>
      </c>
      <c r="D24" s="182"/>
      <c r="E24" s="25" t="s">
        <v>6</v>
      </c>
    </row>
    <row r="25" spans="1:6" ht="15" thickBot="1">
      <c r="A25" s="170"/>
      <c r="B25" s="164"/>
      <c r="C25" s="10" t="s">
        <v>13</v>
      </c>
      <c r="D25" s="183"/>
      <c r="E25" s="39" t="s">
        <v>6</v>
      </c>
    </row>
    <row r="26" spans="1:6" ht="15" customHeight="1">
      <c r="A26" s="162">
        <v>7</v>
      </c>
      <c r="B26" s="162" t="s">
        <v>25</v>
      </c>
      <c r="C26" s="34" t="s">
        <v>10</v>
      </c>
      <c r="D26" s="165">
        <v>44491</v>
      </c>
      <c r="E26" s="31" t="s">
        <v>6</v>
      </c>
    </row>
    <row r="27" spans="1:6" ht="14.4" customHeight="1">
      <c r="A27" s="163"/>
      <c r="B27" s="163"/>
      <c r="C27" s="11" t="s">
        <v>18</v>
      </c>
      <c r="D27" s="166"/>
      <c r="E27" s="25" t="s">
        <v>6</v>
      </c>
      <c r="F27"/>
    </row>
    <row r="28" spans="1:6" ht="30" customHeight="1">
      <c r="A28" s="163"/>
      <c r="B28" s="163"/>
      <c r="C28" s="29" t="s">
        <v>12</v>
      </c>
      <c r="D28" s="166"/>
      <c r="E28" s="25" t="s">
        <v>6</v>
      </c>
    </row>
    <row r="29" spans="1:6" ht="15" thickBot="1">
      <c r="A29" s="164"/>
      <c r="B29" s="164"/>
      <c r="C29" s="12" t="s">
        <v>13</v>
      </c>
      <c r="D29" s="167"/>
      <c r="E29" s="27" t="s">
        <v>6</v>
      </c>
    </row>
    <row r="30" spans="1:6">
      <c r="A30" s="168" t="s">
        <v>23</v>
      </c>
      <c r="B30" s="171" t="s">
        <v>26</v>
      </c>
      <c r="C30" s="23" t="s">
        <v>10</v>
      </c>
      <c r="D30" s="165">
        <v>44489</v>
      </c>
      <c r="E30" s="31" t="s">
        <v>6</v>
      </c>
    </row>
    <row r="31" spans="1:6">
      <c r="A31" s="169"/>
      <c r="B31" s="172"/>
      <c r="C31" s="14" t="s">
        <v>18</v>
      </c>
      <c r="D31" s="166"/>
      <c r="E31" s="25" t="s">
        <v>6</v>
      </c>
    </row>
    <row r="32" spans="1:6" ht="30" customHeight="1">
      <c r="A32" s="169"/>
      <c r="B32" s="172"/>
      <c r="C32" s="35" t="s">
        <v>12</v>
      </c>
      <c r="D32" s="166"/>
      <c r="E32" s="25" t="s">
        <v>6</v>
      </c>
      <c r="F32"/>
    </row>
    <row r="33" spans="1:6" ht="15" thickBot="1">
      <c r="A33" s="170"/>
      <c r="B33" s="173"/>
      <c r="C33" s="13" t="s">
        <v>13</v>
      </c>
      <c r="D33" s="167"/>
      <c r="E33" s="27" t="s">
        <v>6</v>
      </c>
    </row>
    <row r="34" spans="1:6" ht="15" thickBot="1">
      <c r="A34" s="169" t="s">
        <v>24</v>
      </c>
      <c r="B34" s="163" t="s">
        <v>28</v>
      </c>
      <c r="C34" s="28" t="s">
        <v>10</v>
      </c>
      <c r="D34" s="165">
        <v>44489</v>
      </c>
      <c r="E34" s="36" t="s">
        <v>6</v>
      </c>
    </row>
    <row r="35" spans="1:6">
      <c r="A35" s="169"/>
      <c r="B35" s="163"/>
      <c r="C35" s="11" t="s">
        <v>18</v>
      </c>
      <c r="D35" s="166"/>
      <c r="E35" s="41" t="s">
        <v>7</v>
      </c>
      <c r="F35"/>
    </row>
    <row r="36" spans="1:6" ht="30" customHeight="1" thickBot="1">
      <c r="A36" s="169"/>
      <c r="B36" s="163"/>
      <c r="C36" s="29" t="s">
        <v>12</v>
      </c>
      <c r="D36" s="166"/>
      <c r="E36" s="37" t="s">
        <v>6</v>
      </c>
    </row>
    <row r="37" spans="1:6" ht="15" thickBot="1">
      <c r="A37" s="170"/>
      <c r="B37" s="164"/>
      <c r="C37" s="12" t="s">
        <v>13</v>
      </c>
      <c r="D37" s="180"/>
      <c r="E37" s="40" t="s">
        <v>6</v>
      </c>
    </row>
    <row r="38" spans="1:6" s="43" customFormat="1" ht="30" customHeight="1" thickBot="1">
      <c r="A38" s="184"/>
      <c r="B38" s="184"/>
      <c r="C38" s="184"/>
      <c r="D38" s="184"/>
      <c r="E38" s="184"/>
    </row>
    <row r="39" spans="1:6">
      <c r="A39" s="168" t="s">
        <v>35</v>
      </c>
      <c r="B39" s="162" t="s">
        <v>37</v>
      </c>
      <c r="C39" s="34" t="s">
        <v>30</v>
      </c>
      <c r="D39" s="166">
        <v>44491</v>
      </c>
      <c r="E39" s="24" t="s">
        <v>6</v>
      </c>
    </row>
    <row r="40" spans="1:6">
      <c r="A40" s="169"/>
      <c r="B40" s="163"/>
      <c r="C40" s="11" t="s">
        <v>18</v>
      </c>
      <c r="D40" s="166"/>
      <c r="E40" s="25" t="s">
        <v>6</v>
      </c>
    </row>
    <row r="41" spans="1:6" ht="30" customHeight="1">
      <c r="A41" s="169"/>
      <c r="B41" s="163"/>
      <c r="C41" s="29" t="s">
        <v>12</v>
      </c>
      <c r="D41" s="166"/>
      <c r="E41" s="25" t="s">
        <v>6</v>
      </c>
    </row>
    <row r="42" spans="1:6" ht="15" thickBot="1">
      <c r="A42" s="170"/>
      <c r="B42" s="164"/>
      <c r="C42" s="12" t="s">
        <v>13</v>
      </c>
      <c r="D42" s="167"/>
      <c r="E42" s="25" t="s">
        <v>6</v>
      </c>
    </row>
    <row r="43" spans="1:6" ht="15" customHeight="1">
      <c r="A43" s="162">
        <v>11</v>
      </c>
      <c r="B43" s="162" t="s">
        <v>31</v>
      </c>
      <c r="C43" s="34" t="s">
        <v>10</v>
      </c>
      <c r="D43" s="165">
        <v>44491</v>
      </c>
      <c r="E43" s="25" t="s">
        <v>6</v>
      </c>
    </row>
    <row r="44" spans="1:6" ht="14.4" customHeight="1">
      <c r="A44" s="163"/>
      <c r="B44" s="163"/>
      <c r="C44" s="11" t="s">
        <v>18</v>
      </c>
      <c r="D44" s="166"/>
      <c r="E44" s="25" t="s">
        <v>6</v>
      </c>
    </row>
    <row r="45" spans="1:6" ht="30" customHeight="1">
      <c r="A45" s="163"/>
      <c r="B45" s="163"/>
      <c r="C45" s="29" t="s">
        <v>12</v>
      </c>
      <c r="D45" s="166"/>
      <c r="E45" s="25" t="s">
        <v>6</v>
      </c>
    </row>
    <row r="46" spans="1:6" ht="15" thickBot="1">
      <c r="A46" s="164"/>
      <c r="B46" s="164"/>
      <c r="C46" s="12" t="s">
        <v>13</v>
      </c>
      <c r="D46" s="167"/>
      <c r="E46" s="25" t="s">
        <v>6</v>
      </c>
    </row>
    <row r="47" spans="1:6">
      <c r="A47" s="168" t="s">
        <v>27</v>
      </c>
      <c r="B47" s="162" t="s">
        <v>32</v>
      </c>
      <c r="C47" s="34" t="s">
        <v>10</v>
      </c>
      <c r="D47" s="165">
        <v>44488</v>
      </c>
      <c r="E47" s="42" t="s">
        <v>7</v>
      </c>
    </row>
    <row r="48" spans="1:6">
      <c r="A48" s="169"/>
      <c r="B48" s="163"/>
      <c r="C48" s="11" t="s">
        <v>18</v>
      </c>
      <c r="D48" s="166"/>
      <c r="E48" s="25" t="s">
        <v>6</v>
      </c>
    </row>
    <row r="49" spans="1:6" ht="30" customHeight="1">
      <c r="A49" s="169"/>
      <c r="B49" s="163"/>
      <c r="C49" s="29" t="s">
        <v>12</v>
      </c>
      <c r="D49" s="166"/>
      <c r="E49" s="25" t="s">
        <v>6</v>
      </c>
      <c r="F49"/>
    </row>
    <row r="50" spans="1:6" ht="15" thickBot="1">
      <c r="A50" s="170"/>
      <c r="B50" s="163"/>
      <c r="C50" s="38" t="s">
        <v>13</v>
      </c>
      <c r="D50" s="167"/>
      <c r="E50" s="33" t="s">
        <v>6</v>
      </c>
    </row>
    <row r="51" spans="1:6">
      <c r="A51" s="168" t="s">
        <v>29</v>
      </c>
      <c r="B51" s="162" t="s">
        <v>33</v>
      </c>
      <c r="C51" s="34" t="s">
        <v>10</v>
      </c>
      <c r="D51" s="165">
        <v>44482</v>
      </c>
      <c r="E51" s="31" t="s">
        <v>6</v>
      </c>
    </row>
    <row r="52" spans="1:6">
      <c r="A52" s="169"/>
      <c r="B52" s="163"/>
      <c r="C52" s="11" t="s">
        <v>18</v>
      </c>
      <c r="D52" s="166"/>
      <c r="E52" s="25" t="s">
        <v>6</v>
      </c>
    </row>
    <row r="53" spans="1:6" ht="30" customHeight="1">
      <c r="A53" s="169"/>
      <c r="B53" s="163"/>
      <c r="C53" s="29" t="s">
        <v>12</v>
      </c>
      <c r="D53" s="166"/>
      <c r="E53" s="25" t="s">
        <v>6</v>
      </c>
      <c r="F53"/>
    </row>
    <row r="54" spans="1:6" ht="15" thickBot="1">
      <c r="A54" s="170"/>
      <c r="B54" s="164"/>
      <c r="C54" s="12" t="s">
        <v>13</v>
      </c>
      <c r="D54" s="167"/>
      <c r="E54" s="27" t="s">
        <v>6</v>
      </c>
    </row>
    <row r="55" spans="1:6">
      <c r="C55" s="17"/>
      <c r="D55" s="18"/>
      <c r="E55" s="19"/>
    </row>
    <row r="56" spans="1:6">
      <c r="C56" s="17"/>
      <c r="D56" s="18"/>
      <c r="E56" s="20"/>
    </row>
  </sheetData>
  <mergeCells count="40">
    <mergeCell ref="A43:A46"/>
    <mergeCell ref="D47:D50"/>
    <mergeCell ref="D51:D54"/>
    <mergeCell ref="D30:D33"/>
    <mergeCell ref="D34:D37"/>
    <mergeCell ref="A38:E38"/>
    <mergeCell ref="A47:A50"/>
    <mergeCell ref="B47:B50"/>
    <mergeCell ref="A51:A54"/>
    <mergeCell ref="B51:B54"/>
    <mergeCell ref="B43:B46"/>
    <mergeCell ref="D43:D46"/>
    <mergeCell ref="A39:A42"/>
    <mergeCell ref="B39:B42"/>
    <mergeCell ref="D39:D42"/>
    <mergeCell ref="A34:A37"/>
    <mergeCell ref="D10:D13"/>
    <mergeCell ref="D14:D17"/>
    <mergeCell ref="A10:A13"/>
    <mergeCell ref="B10:B13"/>
    <mergeCell ref="A22:A25"/>
    <mergeCell ref="B22:B25"/>
    <mergeCell ref="D22:D25"/>
    <mergeCell ref="A2:A5"/>
    <mergeCell ref="B2:B5"/>
    <mergeCell ref="D2:D5"/>
    <mergeCell ref="A6:A9"/>
    <mergeCell ref="B6:B9"/>
    <mergeCell ref="D6:D9"/>
    <mergeCell ref="A14:A17"/>
    <mergeCell ref="B14:B17"/>
    <mergeCell ref="B34:B37"/>
    <mergeCell ref="D26:D29"/>
    <mergeCell ref="A26:A29"/>
    <mergeCell ref="A18:A21"/>
    <mergeCell ref="B18:B21"/>
    <mergeCell ref="D18:D21"/>
    <mergeCell ref="B26:B29"/>
    <mergeCell ref="A30:A33"/>
    <mergeCell ref="B30:B33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1" topLeftCell="A2" activePane="bottomLeft" state="frozen"/>
      <selection pane="bottomLeft" activeCell="C42" sqref="C42"/>
    </sheetView>
  </sheetViews>
  <sheetFormatPr baseColWidth="10" defaultRowHeight="14.4"/>
  <cols>
    <col min="1" max="1" width="3.6640625" style="15" customWidth="1"/>
    <col min="2" max="2" width="11.88671875" style="16" customWidth="1"/>
    <col min="3" max="3" width="43.5546875" style="44" customWidth="1"/>
    <col min="4" max="4" width="10.33203125" style="21" customWidth="1"/>
    <col min="5" max="5" width="16.33203125" style="22" customWidth="1"/>
    <col min="6" max="16384" width="11.5546875" style="5"/>
  </cols>
  <sheetData>
    <row r="1" spans="1:6" ht="30" customHeight="1" thickBot="1">
      <c r="A1" s="1" t="s">
        <v>0</v>
      </c>
      <c r="B1" s="2" t="s">
        <v>1</v>
      </c>
      <c r="C1" s="57" t="s">
        <v>2</v>
      </c>
      <c r="D1" s="4" t="s">
        <v>3</v>
      </c>
      <c r="E1" s="4" t="s">
        <v>4</v>
      </c>
    </row>
    <row r="2" spans="1:6" ht="15" customHeight="1" thickBot="1">
      <c r="A2" s="168" t="s">
        <v>5</v>
      </c>
      <c r="B2" s="162" t="s">
        <v>48</v>
      </c>
      <c r="C2" s="6" t="s">
        <v>10</v>
      </c>
      <c r="D2" s="177">
        <v>44641</v>
      </c>
      <c r="E2" s="55" t="s">
        <v>7</v>
      </c>
    </row>
    <row r="3" spans="1:6" ht="14.4" customHeight="1" thickBot="1">
      <c r="A3" s="169"/>
      <c r="B3" s="163"/>
      <c r="C3" s="54" t="s">
        <v>11</v>
      </c>
      <c r="D3" s="178"/>
      <c r="E3" s="55" t="s">
        <v>7</v>
      </c>
      <c r="F3"/>
    </row>
    <row r="4" spans="1:6" ht="30" customHeight="1" thickBot="1">
      <c r="A4" s="169"/>
      <c r="B4" s="163"/>
      <c r="C4" s="9" t="s">
        <v>12</v>
      </c>
      <c r="D4" s="178"/>
      <c r="E4" s="55" t="s">
        <v>7</v>
      </c>
    </row>
    <row r="5" spans="1:6" ht="15" thickBot="1">
      <c r="A5" s="169"/>
      <c r="B5" s="163"/>
      <c r="C5" s="53" t="s">
        <v>13</v>
      </c>
      <c r="D5" s="178"/>
      <c r="E5" s="55" t="s">
        <v>7</v>
      </c>
    </row>
    <row r="6" spans="1:6" ht="15" thickBot="1">
      <c r="A6" s="170"/>
      <c r="B6" s="164"/>
      <c r="C6" s="56" t="s">
        <v>47</v>
      </c>
      <c r="D6" s="179"/>
      <c r="E6" s="55" t="s">
        <v>7</v>
      </c>
    </row>
    <row r="7" spans="1:6" ht="15" thickBot="1">
      <c r="A7" s="159" t="s">
        <v>34</v>
      </c>
      <c r="B7" s="162" t="s">
        <v>46</v>
      </c>
      <c r="C7" s="6" t="s">
        <v>10</v>
      </c>
      <c r="D7" s="177">
        <v>44637</v>
      </c>
      <c r="E7" s="7" t="s">
        <v>6</v>
      </c>
    </row>
    <row r="8" spans="1:6" ht="14.4" customHeight="1">
      <c r="A8" s="160"/>
      <c r="B8" s="163"/>
      <c r="C8" s="54" t="s">
        <v>11</v>
      </c>
      <c r="D8" s="178"/>
      <c r="E8" s="42" t="s">
        <v>7</v>
      </c>
      <c r="F8"/>
    </row>
    <row r="9" spans="1:6" ht="30" customHeight="1" thickBot="1">
      <c r="A9" s="160"/>
      <c r="B9" s="163"/>
      <c r="C9" s="9" t="s">
        <v>12</v>
      </c>
      <c r="D9" s="178"/>
      <c r="E9" s="7" t="s">
        <v>6</v>
      </c>
    </row>
    <row r="10" spans="1:6" ht="15" thickBot="1">
      <c r="A10" s="161"/>
      <c r="B10" s="164"/>
      <c r="C10" s="53" t="s">
        <v>13</v>
      </c>
      <c r="D10" s="179"/>
      <c r="E10" s="42" t="s">
        <v>7</v>
      </c>
    </row>
    <row r="11" spans="1:6">
      <c r="A11" s="159" t="s">
        <v>8</v>
      </c>
      <c r="B11" s="162" t="s">
        <v>45</v>
      </c>
      <c r="C11" s="6" t="s">
        <v>10</v>
      </c>
      <c r="D11" s="177">
        <v>44637</v>
      </c>
      <c r="E11" s="42" t="s">
        <v>7</v>
      </c>
    </row>
    <row r="12" spans="1:6" ht="15" thickBot="1">
      <c r="A12" s="160"/>
      <c r="B12" s="163"/>
      <c r="C12" s="54" t="s">
        <v>18</v>
      </c>
      <c r="D12" s="178"/>
      <c r="E12" s="7" t="s">
        <v>6</v>
      </c>
      <c r="F12"/>
    </row>
    <row r="13" spans="1:6" ht="30" customHeight="1" thickBot="1">
      <c r="A13" s="160"/>
      <c r="B13" s="163"/>
      <c r="C13" s="9" t="s">
        <v>12</v>
      </c>
      <c r="D13" s="178"/>
      <c r="E13" s="7" t="s">
        <v>6</v>
      </c>
    </row>
    <row r="14" spans="1:6" ht="15" thickBot="1">
      <c r="A14" s="161"/>
      <c r="B14" s="164"/>
      <c r="C14" s="53" t="s">
        <v>13</v>
      </c>
      <c r="D14" s="179"/>
      <c r="E14" s="42" t="s">
        <v>44</v>
      </c>
    </row>
    <row r="15" spans="1:6" ht="15" thickBot="1">
      <c r="A15" s="159" t="s">
        <v>14</v>
      </c>
      <c r="B15" s="162" t="s">
        <v>43</v>
      </c>
      <c r="C15" s="6" t="s">
        <v>10</v>
      </c>
      <c r="D15" s="177">
        <v>44637</v>
      </c>
      <c r="E15" s="7" t="s">
        <v>6</v>
      </c>
    </row>
    <row r="16" spans="1:6" ht="15" thickBot="1">
      <c r="A16" s="160"/>
      <c r="B16" s="163"/>
      <c r="C16" s="54" t="s">
        <v>18</v>
      </c>
      <c r="D16" s="178"/>
      <c r="E16" s="7" t="s">
        <v>6</v>
      </c>
      <c r="F16"/>
    </row>
    <row r="17" spans="1:5" ht="30" customHeight="1" thickBot="1">
      <c r="A17" s="160"/>
      <c r="B17" s="163"/>
      <c r="C17" s="9" t="s">
        <v>21</v>
      </c>
      <c r="D17" s="178"/>
      <c r="E17" s="7" t="s">
        <v>6</v>
      </c>
    </row>
    <row r="18" spans="1:5" ht="15" thickBot="1">
      <c r="A18" s="161"/>
      <c r="B18" s="164"/>
      <c r="C18" s="53" t="s">
        <v>13</v>
      </c>
      <c r="D18" s="179"/>
      <c r="E18" s="7" t="s">
        <v>6</v>
      </c>
    </row>
    <row r="19" spans="1:5" ht="15" thickBot="1">
      <c r="A19" s="168" t="s">
        <v>16</v>
      </c>
      <c r="B19" s="163" t="s">
        <v>42</v>
      </c>
      <c r="C19" s="52" t="s">
        <v>10</v>
      </c>
      <c r="D19" s="166">
        <v>44641</v>
      </c>
      <c r="E19" s="42" t="s">
        <v>7</v>
      </c>
    </row>
    <row r="20" spans="1:5">
      <c r="A20" s="169"/>
      <c r="B20" s="163"/>
      <c r="C20" s="51" t="s">
        <v>18</v>
      </c>
      <c r="D20" s="166"/>
      <c r="E20" s="42" t="s">
        <v>7</v>
      </c>
    </row>
    <row r="21" spans="1:5" ht="30" customHeight="1" thickBot="1">
      <c r="A21" s="169"/>
      <c r="B21" s="163"/>
      <c r="C21" s="50" t="s">
        <v>12</v>
      </c>
      <c r="D21" s="166"/>
      <c r="E21" s="25" t="s">
        <v>6</v>
      </c>
    </row>
    <row r="22" spans="1:5" ht="15" thickBot="1">
      <c r="A22" s="170"/>
      <c r="B22" s="164"/>
      <c r="C22" s="49" t="s">
        <v>13</v>
      </c>
      <c r="D22" s="167"/>
      <c r="E22" s="42" t="s">
        <v>7</v>
      </c>
    </row>
    <row r="23" spans="1:5" ht="15" customHeight="1">
      <c r="A23" s="159" t="s">
        <v>19</v>
      </c>
      <c r="B23" s="171" t="s">
        <v>41</v>
      </c>
      <c r="C23" s="48" t="s">
        <v>10</v>
      </c>
      <c r="D23" s="174">
        <v>44641</v>
      </c>
      <c r="E23" s="24" t="s">
        <v>6</v>
      </c>
    </row>
    <row r="24" spans="1:5" ht="14.4" customHeight="1">
      <c r="A24" s="160"/>
      <c r="B24" s="172"/>
      <c r="C24" s="47" t="s">
        <v>11</v>
      </c>
      <c r="D24" s="175"/>
      <c r="E24" s="25" t="s">
        <v>6</v>
      </c>
    </row>
    <row r="25" spans="1:5" ht="30" customHeight="1">
      <c r="A25" s="160"/>
      <c r="B25" s="172"/>
      <c r="C25" s="46" t="s">
        <v>12</v>
      </c>
      <c r="D25" s="175"/>
      <c r="E25" s="25" t="s">
        <v>6</v>
      </c>
    </row>
    <row r="26" spans="1:5" ht="15" thickBot="1">
      <c r="A26" s="161"/>
      <c r="B26" s="173"/>
      <c r="C26" s="45" t="s">
        <v>13</v>
      </c>
      <c r="D26" s="176"/>
      <c r="E26" s="27" t="s">
        <v>6</v>
      </c>
    </row>
    <row r="27" spans="1:5" ht="15" customHeight="1" thickBot="1">
      <c r="A27" s="159" t="s">
        <v>40</v>
      </c>
      <c r="B27" s="171" t="s">
        <v>39</v>
      </c>
      <c r="C27" s="48" t="s">
        <v>10</v>
      </c>
      <c r="D27" s="174">
        <v>44636</v>
      </c>
      <c r="E27" s="27" t="s">
        <v>6</v>
      </c>
    </row>
    <row r="28" spans="1:5" ht="14.4" customHeight="1" thickBot="1">
      <c r="A28" s="160"/>
      <c r="B28" s="172"/>
      <c r="C28" s="47" t="s">
        <v>11</v>
      </c>
      <c r="D28" s="175"/>
      <c r="E28" s="27" t="s">
        <v>6</v>
      </c>
    </row>
    <row r="29" spans="1:5" ht="30" customHeight="1" thickBot="1">
      <c r="A29" s="160"/>
      <c r="B29" s="172"/>
      <c r="C29" s="46" t="s">
        <v>12</v>
      </c>
      <c r="D29" s="175"/>
      <c r="E29" s="27" t="s">
        <v>6</v>
      </c>
    </row>
    <row r="30" spans="1:5" ht="15" thickBot="1">
      <c r="A30" s="161"/>
      <c r="B30" s="173"/>
      <c r="C30" s="45" t="s">
        <v>13</v>
      </c>
      <c r="D30" s="176"/>
      <c r="E30" s="27" t="s">
        <v>6</v>
      </c>
    </row>
    <row r="31" spans="1:5" ht="15" customHeight="1" thickBot="1">
      <c r="A31" s="159" t="s">
        <v>23</v>
      </c>
      <c r="B31" s="171" t="s">
        <v>38</v>
      </c>
      <c r="C31" s="48" t="s">
        <v>10</v>
      </c>
      <c r="D31" s="174">
        <v>44636</v>
      </c>
      <c r="E31" s="42" t="s">
        <v>7</v>
      </c>
    </row>
    <row r="32" spans="1:5" ht="14.4" customHeight="1">
      <c r="A32" s="160"/>
      <c r="B32" s="172"/>
      <c r="C32" s="47" t="s">
        <v>11</v>
      </c>
      <c r="D32" s="175"/>
      <c r="E32" s="42" t="s">
        <v>7</v>
      </c>
    </row>
    <row r="33" spans="1:5" ht="30" customHeight="1" thickBot="1">
      <c r="A33" s="160"/>
      <c r="B33" s="172"/>
      <c r="C33" s="46" t="s">
        <v>12</v>
      </c>
      <c r="D33" s="175"/>
      <c r="E33" s="27" t="s">
        <v>6</v>
      </c>
    </row>
    <row r="34" spans="1:5" ht="15" thickBot="1">
      <c r="A34" s="161"/>
      <c r="B34" s="173"/>
      <c r="C34" s="45" t="s">
        <v>13</v>
      </c>
      <c r="D34" s="176"/>
      <c r="E34" s="27" t="s">
        <v>6</v>
      </c>
    </row>
  </sheetData>
  <mergeCells count="24">
    <mergeCell ref="A31:A34"/>
    <mergeCell ref="B31:B34"/>
    <mergeCell ref="D31:D34"/>
    <mergeCell ref="A19:A22"/>
    <mergeCell ref="A23:A26"/>
    <mergeCell ref="B23:B26"/>
    <mergeCell ref="D23:D26"/>
    <mergeCell ref="D27:D30"/>
    <mergeCell ref="D2:D6"/>
    <mergeCell ref="B19:B22"/>
    <mergeCell ref="D19:D22"/>
    <mergeCell ref="A7:A10"/>
    <mergeCell ref="B7:B10"/>
    <mergeCell ref="B15:B18"/>
    <mergeCell ref="D7:D10"/>
    <mergeCell ref="D11:D14"/>
    <mergeCell ref="D15:D18"/>
    <mergeCell ref="A11:A14"/>
    <mergeCell ref="B11:B14"/>
    <mergeCell ref="A15:A18"/>
    <mergeCell ref="A2:A6"/>
    <mergeCell ref="B2:B6"/>
    <mergeCell ref="A27:A30"/>
    <mergeCell ref="B27:B30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2"/>
  <sheetViews>
    <sheetView workbookViewId="0">
      <pane ySplit="1" topLeftCell="A32" activePane="bottomLeft" state="frozen"/>
      <selection pane="bottomLeft" activeCell="D12" sqref="D12"/>
    </sheetView>
  </sheetViews>
  <sheetFormatPr baseColWidth="10" defaultRowHeight="14.4"/>
  <cols>
    <col min="1" max="1" width="3.6640625" style="15" customWidth="1"/>
    <col min="2" max="2" width="11.33203125" style="16" customWidth="1"/>
    <col min="3" max="3" width="43.5546875" style="44" customWidth="1"/>
    <col min="4" max="4" width="11" style="21" customWidth="1"/>
    <col min="5" max="5" width="16.77734375" style="22" customWidth="1"/>
    <col min="6" max="16384" width="11.5546875" style="5"/>
  </cols>
  <sheetData>
    <row r="1" spans="1:5" ht="30" customHeight="1" thickBot="1">
      <c r="A1" s="1" t="s">
        <v>0</v>
      </c>
      <c r="B1" s="2" t="s">
        <v>1</v>
      </c>
      <c r="C1" s="57" t="s">
        <v>2</v>
      </c>
      <c r="D1" s="4" t="s">
        <v>3</v>
      </c>
      <c r="E1" s="4" t="s">
        <v>4</v>
      </c>
    </row>
    <row r="2" spans="1:5" ht="15" customHeight="1" thickBot="1">
      <c r="A2" s="168" t="s">
        <v>5</v>
      </c>
      <c r="B2" s="162" t="s">
        <v>48</v>
      </c>
      <c r="C2" s="6" t="s">
        <v>10</v>
      </c>
      <c r="D2" s="188">
        <v>44641</v>
      </c>
      <c r="E2" s="55" t="s">
        <v>7</v>
      </c>
    </row>
    <row r="3" spans="1:5" ht="14.4" customHeight="1" thickBot="1">
      <c r="A3" s="169"/>
      <c r="B3" s="163"/>
      <c r="C3" s="54" t="s">
        <v>11</v>
      </c>
      <c r="D3" s="189"/>
      <c r="E3" s="31" t="s">
        <v>6</v>
      </c>
    </row>
    <row r="4" spans="1:5" ht="30" customHeight="1" thickBot="1">
      <c r="A4" s="169"/>
      <c r="B4" s="163"/>
      <c r="C4" s="9" t="s">
        <v>12</v>
      </c>
      <c r="D4" s="189"/>
      <c r="E4" s="31" t="s">
        <v>6</v>
      </c>
    </row>
    <row r="5" spans="1:5" ht="15" thickBot="1">
      <c r="A5" s="169"/>
      <c r="B5" s="163"/>
      <c r="C5" s="53" t="s">
        <v>13</v>
      </c>
      <c r="D5" s="189"/>
      <c r="E5" s="55" t="s">
        <v>7</v>
      </c>
    </row>
    <row r="6" spans="1:5" ht="15" thickBot="1">
      <c r="A6" s="170"/>
      <c r="B6" s="164"/>
      <c r="C6" s="56" t="s">
        <v>47</v>
      </c>
      <c r="D6" s="190"/>
      <c r="E6" s="55" t="s">
        <v>7</v>
      </c>
    </row>
    <row r="7" spans="1:5" ht="15" customHeight="1">
      <c r="A7" s="162">
        <v>2</v>
      </c>
      <c r="B7" s="162" t="s">
        <v>25</v>
      </c>
      <c r="C7" s="100" t="s">
        <v>10</v>
      </c>
      <c r="D7" s="165">
        <v>44491</v>
      </c>
      <c r="E7" s="31" t="s">
        <v>6</v>
      </c>
    </row>
    <row r="8" spans="1:5" ht="14.4" customHeight="1">
      <c r="A8" s="163"/>
      <c r="B8" s="163"/>
      <c r="C8" s="51" t="s">
        <v>18</v>
      </c>
      <c r="D8" s="166"/>
      <c r="E8" s="25" t="s">
        <v>6</v>
      </c>
    </row>
    <row r="9" spans="1:5" ht="30" customHeight="1">
      <c r="A9" s="163"/>
      <c r="B9" s="163"/>
      <c r="C9" s="50" t="s">
        <v>12</v>
      </c>
      <c r="D9" s="166"/>
      <c r="E9" s="25" t="s">
        <v>6</v>
      </c>
    </row>
    <row r="10" spans="1:5" ht="15" thickBot="1">
      <c r="A10" s="164"/>
      <c r="B10" s="164"/>
      <c r="C10" s="49" t="s">
        <v>13</v>
      </c>
      <c r="D10" s="166"/>
      <c r="E10" s="27" t="s">
        <v>6</v>
      </c>
    </row>
    <row r="11" spans="1:5">
      <c r="A11" s="168" t="s">
        <v>8</v>
      </c>
      <c r="B11" s="171" t="s">
        <v>26</v>
      </c>
      <c r="C11" s="48" t="s">
        <v>10</v>
      </c>
      <c r="D11" s="155">
        <v>44489</v>
      </c>
      <c r="E11" s="31" t="s">
        <v>6</v>
      </c>
    </row>
    <row r="12" spans="1:5">
      <c r="A12" s="169"/>
      <c r="B12" s="172"/>
      <c r="C12" s="47" t="s">
        <v>18</v>
      </c>
      <c r="D12" s="158">
        <v>44641</v>
      </c>
      <c r="E12" s="25" t="s">
        <v>6</v>
      </c>
    </row>
    <row r="13" spans="1:5" ht="30" customHeight="1">
      <c r="A13" s="169"/>
      <c r="B13" s="172"/>
      <c r="C13" s="101" t="s">
        <v>12</v>
      </c>
      <c r="D13" s="156">
        <v>44489</v>
      </c>
      <c r="E13" s="25" t="s">
        <v>6</v>
      </c>
    </row>
    <row r="14" spans="1:5" ht="15" thickBot="1">
      <c r="A14" s="170"/>
      <c r="B14" s="173"/>
      <c r="C14" s="45" t="s">
        <v>13</v>
      </c>
      <c r="D14" s="157">
        <v>44489</v>
      </c>
      <c r="E14" s="27" t="s">
        <v>6</v>
      </c>
    </row>
    <row r="15" spans="1:5" ht="15" thickBot="1">
      <c r="A15" s="169" t="s">
        <v>14</v>
      </c>
      <c r="B15" s="163" t="s">
        <v>28</v>
      </c>
      <c r="C15" s="52" t="s">
        <v>10</v>
      </c>
      <c r="D15" s="166">
        <v>44489</v>
      </c>
      <c r="E15" s="36" t="s">
        <v>6</v>
      </c>
    </row>
    <row r="16" spans="1:5">
      <c r="A16" s="169"/>
      <c r="B16" s="163"/>
      <c r="C16" s="51" t="s">
        <v>18</v>
      </c>
      <c r="D16" s="166"/>
      <c r="E16" s="41" t="s">
        <v>7</v>
      </c>
    </row>
    <row r="17" spans="1:5" ht="30" customHeight="1" thickBot="1">
      <c r="A17" s="169"/>
      <c r="B17" s="163"/>
      <c r="C17" s="50" t="s">
        <v>12</v>
      </c>
      <c r="D17" s="166"/>
      <c r="E17" s="37" t="s">
        <v>6</v>
      </c>
    </row>
    <row r="18" spans="1:5" ht="15" thickBot="1">
      <c r="A18" s="170"/>
      <c r="B18" s="164"/>
      <c r="C18" s="49" t="s">
        <v>13</v>
      </c>
      <c r="D18" s="180"/>
      <c r="E18" s="40" t="s">
        <v>6</v>
      </c>
    </row>
    <row r="19" spans="1:5">
      <c r="A19" s="168" t="s">
        <v>16</v>
      </c>
      <c r="B19" s="162" t="s">
        <v>37</v>
      </c>
      <c r="C19" s="100" t="s">
        <v>30</v>
      </c>
      <c r="D19" s="166">
        <v>44491</v>
      </c>
      <c r="E19" s="24" t="s">
        <v>6</v>
      </c>
    </row>
    <row r="20" spans="1:5">
      <c r="A20" s="169"/>
      <c r="B20" s="163"/>
      <c r="C20" s="51" t="s">
        <v>18</v>
      </c>
      <c r="D20" s="166"/>
      <c r="E20" s="25" t="s">
        <v>6</v>
      </c>
    </row>
    <row r="21" spans="1:5" ht="30" customHeight="1">
      <c r="A21" s="169"/>
      <c r="B21" s="163"/>
      <c r="C21" s="50" t="s">
        <v>12</v>
      </c>
      <c r="D21" s="166"/>
      <c r="E21" s="25" t="s">
        <v>6</v>
      </c>
    </row>
    <row r="22" spans="1:5" ht="15" thickBot="1">
      <c r="A22" s="170"/>
      <c r="B22" s="164"/>
      <c r="C22" s="49" t="s">
        <v>13</v>
      </c>
      <c r="D22" s="167"/>
      <c r="E22" s="25" t="s">
        <v>6</v>
      </c>
    </row>
    <row r="23" spans="1:5" ht="15" customHeight="1">
      <c r="A23" s="168" t="s">
        <v>19</v>
      </c>
      <c r="B23" s="162" t="s">
        <v>31</v>
      </c>
      <c r="C23" s="100" t="s">
        <v>10</v>
      </c>
      <c r="D23" s="165">
        <v>44491</v>
      </c>
      <c r="E23" s="25" t="s">
        <v>6</v>
      </c>
    </row>
    <row r="24" spans="1:5" ht="14.4" customHeight="1">
      <c r="A24" s="169"/>
      <c r="B24" s="163"/>
      <c r="C24" s="51" t="s">
        <v>18</v>
      </c>
      <c r="D24" s="166"/>
      <c r="E24" s="25" t="s">
        <v>6</v>
      </c>
    </row>
    <row r="25" spans="1:5" ht="30" customHeight="1">
      <c r="A25" s="169"/>
      <c r="B25" s="163"/>
      <c r="C25" s="50" t="s">
        <v>12</v>
      </c>
      <c r="D25" s="166"/>
      <c r="E25" s="25" t="s">
        <v>6</v>
      </c>
    </row>
    <row r="26" spans="1:5" ht="15" thickBot="1">
      <c r="A26" s="170"/>
      <c r="B26" s="164"/>
      <c r="C26" s="49" t="s">
        <v>13</v>
      </c>
      <c r="D26" s="167"/>
      <c r="E26" s="25" t="s">
        <v>6</v>
      </c>
    </row>
    <row r="27" spans="1:5">
      <c r="A27" s="168" t="s">
        <v>40</v>
      </c>
      <c r="B27" s="162" t="s">
        <v>32</v>
      </c>
      <c r="C27" s="100" t="s">
        <v>10</v>
      </c>
      <c r="D27" s="165">
        <v>44488</v>
      </c>
      <c r="E27" s="42" t="s">
        <v>7</v>
      </c>
    </row>
    <row r="28" spans="1:5">
      <c r="A28" s="169"/>
      <c r="B28" s="163"/>
      <c r="C28" s="51" t="s">
        <v>18</v>
      </c>
      <c r="D28" s="166"/>
      <c r="E28" s="25" t="s">
        <v>6</v>
      </c>
    </row>
    <row r="29" spans="1:5" ht="30" customHeight="1">
      <c r="A29" s="169"/>
      <c r="B29" s="163"/>
      <c r="C29" s="50" t="s">
        <v>12</v>
      </c>
      <c r="D29" s="166"/>
      <c r="E29" s="25" t="s">
        <v>6</v>
      </c>
    </row>
    <row r="30" spans="1:5" ht="15" thickBot="1">
      <c r="A30" s="170"/>
      <c r="B30" s="163"/>
      <c r="C30" s="102" t="s">
        <v>13</v>
      </c>
      <c r="D30" s="167"/>
      <c r="E30" s="33" t="s">
        <v>6</v>
      </c>
    </row>
    <row r="31" spans="1:5">
      <c r="A31" s="168" t="s">
        <v>23</v>
      </c>
      <c r="B31" s="162" t="s">
        <v>33</v>
      </c>
      <c r="C31" s="100" t="s">
        <v>10</v>
      </c>
      <c r="D31" s="165">
        <v>44482</v>
      </c>
      <c r="E31" s="31" t="s">
        <v>6</v>
      </c>
    </row>
    <row r="32" spans="1:5">
      <c r="A32" s="169"/>
      <c r="B32" s="163"/>
      <c r="C32" s="51" t="s">
        <v>18</v>
      </c>
      <c r="D32" s="166"/>
      <c r="E32" s="25" t="s">
        <v>6</v>
      </c>
    </row>
    <row r="33" spans="1:5" ht="30" customHeight="1">
      <c r="A33" s="169"/>
      <c r="B33" s="163"/>
      <c r="C33" s="50" t="s">
        <v>12</v>
      </c>
      <c r="D33" s="166"/>
      <c r="E33" s="25" t="s">
        <v>6</v>
      </c>
    </row>
    <row r="34" spans="1:5" ht="15" thickBot="1">
      <c r="A34" s="170"/>
      <c r="B34" s="164"/>
      <c r="C34" s="49" t="s">
        <v>13</v>
      </c>
      <c r="D34" s="167"/>
      <c r="E34" s="27" t="s">
        <v>6</v>
      </c>
    </row>
    <row r="35" spans="1:5" ht="15" customHeight="1">
      <c r="A35" s="159" t="s">
        <v>24</v>
      </c>
      <c r="B35" s="171" t="s">
        <v>9</v>
      </c>
      <c r="C35" s="48" t="s">
        <v>10</v>
      </c>
      <c r="D35" s="174">
        <v>44488</v>
      </c>
      <c r="E35" s="103" t="s">
        <v>6</v>
      </c>
    </row>
    <row r="36" spans="1:5" ht="14.4" customHeight="1">
      <c r="A36" s="160"/>
      <c r="B36" s="172"/>
      <c r="C36" s="47" t="s">
        <v>11</v>
      </c>
      <c r="D36" s="175"/>
      <c r="E36" s="37" t="s">
        <v>6</v>
      </c>
    </row>
    <row r="37" spans="1:5" ht="30" customHeight="1">
      <c r="A37" s="160"/>
      <c r="B37" s="172"/>
      <c r="C37" s="46" t="s">
        <v>12</v>
      </c>
      <c r="D37" s="175"/>
      <c r="E37" s="37" t="s">
        <v>6</v>
      </c>
    </row>
    <row r="38" spans="1:5" ht="15" thickBot="1">
      <c r="A38" s="161"/>
      <c r="B38" s="173"/>
      <c r="C38" s="45" t="s">
        <v>13</v>
      </c>
      <c r="D38" s="176"/>
      <c r="E38" s="39" t="s">
        <v>6</v>
      </c>
    </row>
    <row r="39" spans="1:5" ht="15" thickBot="1">
      <c r="A39" s="142"/>
      <c r="B39" s="151"/>
      <c r="C39" s="152"/>
      <c r="D39" s="141"/>
      <c r="E39" s="27"/>
    </row>
    <row r="40" spans="1:5" ht="15" thickBot="1">
      <c r="A40" s="159" t="s">
        <v>35</v>
      </c>
      <c r="B40" s="162" t="s">
        <v>15</v>
      </c>
      <c r="C40" s="6" t="s">
        <v>10</v>
      </c>
      <c r="D40" s="177">
        <v>44495</v>
      </c>
      <c r="E40" s="7" t="s">
        <v>6</v>
      </c>
    </row>
    <row r="41" spans="1:5" ht="14.4" customHeight="1">
      <c r="A41" s="160"/>
      <c r="B41" s="163"/>
      <c r="C41" s="54" t="s">
        <v>11</v>
      </c>
      <c r="D41" s="178"/>
      <c r="E41" s="42" t="s">
        <v>7</v>
      </c>
    </row>
    <row r="42" spans="1:5" ht="30" customHeight="1" thickBot="1">
      <c r="A42" s="160"/>
      <c r="B42" s="163"/>
      <c r="C42" s="9" t="s">
        <v>12</v>
      </c>
      <c r="D42" s="178"/>
      <c r="E42" s="27" t="s">
        <v>6</v>
      </c>
    </row>
    <row r="43" spans="1:5" ht="15" thickBot="1">
      <c r="A43" s="161"/>
      <c r="B43" s="164"/>
      <c r="C43" s="53" t="s">
        <v>13</v>
      </c>
      <c r="D43" s="179"/>
      <c r="E43" s="27" t="s">
        <v>6</v>
      </c>
    </row>
    <row r="44" spans="1:5">
      <c r="A44" s="159" t="s">
        <v>49</v>
      </c>
      <c r="B44" s="162" t="s">
        <v>17</v>
      </c>
      <c r="C44" s="6" t="s">
        <v>10</v>
      </c>
      <c r="D44" s="165">
        <v>44495</v>
      </c>
      <c r="E44" s="42" t="s">
        <v>7</v>
      </c>
    </row>
    <row r="45" spans="1:5">
      <c r="A45" s="160"/>
      <c r="B45" s="163"/>
      <c r="C45" s="54" t="s">
        <v>18</v>
      </c>
      <c r="D45" s="166"/>
      <c r="E45" s="25" t="s">
        <v>6</v>
      </c>
    </row>
    <row r="46" spans="1:5" ht="30" customHeight="1">
      <c r="A46" s="160"/>
      <c r="B46" s="163"/>
      <c r="C46" s="9" t="s">
        <v>12</v>
      </c>
      <c r="D46" s="166"/>
      <c r="E46" s="25" t="s">
        <v>6</v>
      </c>
    </row>
    <row r="47" spans="1:5" ht="15" thickBot="1">
      <c r="A47" s="161"/>
      <c r="B47" s="164"/>
      <c r="C47" s="53" t="s">
        <v>13</v>
      </c>
      <c r="D47" s="167"/>
      <c r="E47" s="25" t="s">
        <v>6</v>
      </c>
    </row>
    <row r="48" spans="1:5">
      <c r="A48" s="159" t="s">
        <v>27</v>
      </c>
      <c r="B48" s="162" t="s">
        <v>20</v>
      </c>
      <c r="C48" s="6" t="s">
        <v>10</v>
      </c>
      <c r="D48" s="165">
        <v>44495</v>
      </c>
      <c r="E48" s="42" t="s">
        <v>7</v>
      </c>
    </row>
    <row r="49" spans="1:5">
      <c r="A49" s="160"/>
      <c r="B49" s="163"/>
      <c r="C49" s="54" t="s">
        <v>18</v>
      </c>
      <c r="D49" s="166"/>
      <c r="E49" s="25" t="s">
        <v>6</v>
      </c>
    </row>
    <row r="50" spans="1:5" ht="30" customHeight="1">
      <c r="A50" s="160"/>
      <c r="B50" s="163"/>
      <c r="C50" s="9" t="s">
        <v>21</v>
      </c>
      <c r="D50" s="166"/>
      <c r="E50" s="25" t="s">
        <v>6</v>
      </c>
    </row>
    <row r="51" spans="1:5" ht="15" thickBot="1">
      <c r="A51" s="161"/>
      <c r="B51" s="164"/>
      <c r="C51" s="53" t="s">
        <v>13</v>
      </c>
      <c r="D51" s="180"/>
      <c r="E51" s="25" t="s">
        <v>6</v>
      </c>
    </row>
    <row r="52" spans="1:5">
      <c r="A52" s="168" t="s">
        <v>29</v>
      </c>
      <c r="B52" s="163" t="s">
        <v>22</v>
      </c>
      <c r="C52" s="52" t="s">
        <v>10</v>
      </c>
      <c r="D52" s="166">
        <v>44488</v>
      </c>
      <c r="E52" s="24" t="s">
        <v>6</v>
      </c>
    </row>
    <row r="53" spans="1:5">
      <c r="A53" s="169"/>
      <c r="B53" s="163"/>
      <c r="C53" s="51" t="s">
        <v>18</v>
      </c>
      <c r="D53" s="166"/>
      <c r="E53" s="25" t="s">
        <v>6</v>
      </c>
    </row>
    <row r="54" spans="1:5" ht="30" customHeight="1">
      <c r="A54" s="169"/>
      <c r="B54" s="163"/>
      <c r="C54" s="50" t="s">
        <v>12</v>
      </c>
      <c r="D54" s="166"/>
      <c r="E54" s="25" t="s">
        <v>6</v>
      </c>
    </row>
    <row r="55" spans="1:5" ht="15" thickBot="1">
      <c r="A55" s="170"/>
      <c r="B55" s="164"/>
      <c r="C55" s="49" t="s">
        <v>13</v>
      </c>
      <c r="D55" s="167"/>
      <c r="E55" s="27" t="s">
        <v>6</v>
      </c>
    </row>
    <row r="56" spans="1:5">
      <c r="A56" s="168" t="s">
        <v>50</v>
      </c>
      <c r="B56" s="162" t="s">
        <v>36</v>
      </c>
      <c r="C56" s="6" t="s">
        <v>10</v>
      </c>
      <c r="D56" s="181">
        <v>44489</v>
      </c>
      <c r="E56" s="31" t="s">
        <v>6</v>
      </c>
    </row>
    <row r="57" spans="1:5">
      <c r="A57" s="169"/>
      <c r="B57" s="163"/>
      <c r="C57" s="54" t="s">
        <v>18</v>
      </c>
      <c r="D57" s="182"/>
      <c r="E57" s="25" t="s">
        <v>6</v>
      </c>
    </row>
    <row r="58" spans="1:5" ht="30" customHeight="1">
      <c r="A58" s="169"/>
      <c r="B58" s="163"/>
      <c r="C58" s="9" t="s">
        <v>12</v>
      </c>
      <c r="D58" s="182"/>
      <c r="E58" s="25" t="s">
        <v>6</v>
      </c>
    </row>
    <row r="59" spans="1:5" ht="15" thickBot="1">
      <c r="A59" s="170"/>
      <c r="B59" s="164"/>
      <c r="C59" s="53" t="s">
        <v>13</v>
      </c>
      <c r="D59" s="183"/>
      <c r="E59" s="39" t="s">
        <v>6</v>
      </c>
    </row>
    <row r="60" spans="1:5" ht="15" customHeight="1" thickBot="1">
      <c r="A60" s="159" t="s">
        <v>51</v>
      </c>
      <c r="B60" s="162" t="s">
        <v>46</v>
      </c>
      <c r="C60" s="6" t="s">
        <v>10</v>
      </c>
      <c r="D60" s="188">
        <v>44637</v>
      </c>
      <c r="E60" s="7" t="s">
        <v>6</v>
      </c>
    </row>
    <row r="61" spans="1:5" ht="14.4" customHeight="1">
      <c r="A61" s="160"/>
      <c r="B61" s="163"/>
      <c r="C61" s="54" t="s">
        <v>11</v>
      </c>
      <c r="D61" s="189"/>
      <c r="E61" s="42" t="s">
        <v>7</v>
      </c>
    </row>
    <row r="62" spans="1:5" ht="30" customHeight="1" thickBot="1">
      <c r="A62" s="160"/>
      <c r="B62" s="163"/>
      <c r="C62" s="9" t="s">
        <v>12</v>
      </c>
      <c r="D62" s="189"/>
      <c r="E62" s="7" t="s">
        <v>6</v>
      </c>
    </row>
    <row r="63" spans="1:5" ht="15" thickBot="1">
      <c r="A63" s="161"/>
      <c r="B63" s="164"/>
      <c r="C63" s="53" t="s">
        <v>13</v>
      </c>
      <c r="D63" s="190"/>
      <c r="E63" s="42" t="s">
        <v>7</v>
      </c>
    </row>
    <row r="64" spans="1:5" ht="14.4" customHeight="1">
      <c r="A64" s="159" t="s">
        <v>52</v>
      </c>
      <c r="B64" s="162" t="s">
        <v>45</v>
      </c>
      <c r="C64" s="6" t="s">
        <v>10</v>
      </c>
      <c r="D64" s="188">
        <v>44637</v>
      </c>
      <c r="E64" s="42" t="s">
        <v>7</v>
      </c>
    </row>
    <row r="65" spans="1:5" ht="15" thickBot="1">
      <c r="A65" s="160"/>
      <c r="B65" s="163"/>
      <c r="C65" s="54" t="s">
        <v>18</v>
      </c>
      <c r="D65" s="189"/>
      <c r="E65" s="7" t="s">
        <v>6</v>
      </c>
    </row>
    <row r="66" spans="1:5" ht="30" customHeight="1" thickBot="1">
      <c r="A66" s="160"/>
      <c r="B66" s="163"/>
      <c r="C66" s="9" t="s">
        <v>12</v>
      </c>
      <c r="D66" s="189"/>
      <c r="E66" s="7" t="s">
        <v>6</v>
      </c>
    </row>
    <row r="67" spans="1:5" ht="15" thickBot="1">
      <c r="A67" s="161"/>
      <c r="B67" s="164"/>
      <c r="C67" s="53" t="s">
        <v>13</v>
      </c>
      <c r="D67" s="190"/>
      <c r="E67" s="42" t="s">
        <v>44</v>
      </c>
    </row>
    <row r="68" spans="1:5" ht="15" customHeight="1" thickBot="1">
      <c r="A68" s="159" t="s">
        <v>53</v>
      </c>
      <c r="B68" s="162" t="s">
        <v>43</v>
      </c>
      <c r="C68" s="6" t="s">
        <v>10</v>
      </c>
      <c r="D68" s="188">
        <v>44637</v>
      </c>
      <c r="E68" s="7" t="s">
        <v>6</v>
      </c>
    </row>
    <row r="69" spans="1:5" ht="15" thickBot="1">
      <c r="A69" s="160"/>
      <c r="B69" s="163"/>
      <c r="C69" s="54" t="s">
        <v>18</v>
      </c>
      <c r="D69" s="189"/>
      <c r="E69" s="7" t="s">
        <v>6</v>
      </c>
    </row>
    <row r="70" spans="1:5" ht="30" customHeight="1" thickBot="1">
      <c r="A70" s="160"/>
      <c r="B70" s="163"/>
      <c r="C70" s="9" t="s">
        <v>21</v>
      </c>
      <c r="D70" s="189"/>
      <c r="E70" s="7" t="s">
        <v>6</v>
      </c>
    </row>
    <row r="71" spans="1:5" ht="15" thickBot="1">
      <c r="A71" s="161"/>
      <c r="B71" s="164"/>
      <c r="C71" s="53" t="s">
        <v>13</v>
      </c>
      <c r="D71" s="190"/>
      <c r="E71" s="7" t="s">
        <v>6</v>
      </c>
    </row>
    <row r="72" spans="1:5" ht="15" customHeight="1" thickBot="1">
      <c r="A72" s="168" t="s">
        <v>54</v>
      </c>
      <c r="B72" s="162" t="s">
        <v>42</v>
      </c>
      <c r="C72" s="52" t="s">
        <v>10</v>
      </c>
      <c r="D72" s="189">
        <v>44641</v>
      </c>
      <c r="E72" s="42" t="s">
        <v>7</v>
      </c>
    </row>
    <row r="73" spans="1:5">
      <c r="A73" s="169"/>
      <c r="B73" s="163"/>
      <c r="C73" s="51" t="s">
        <v>18</v>
      </c>
      <c r="D73" s="189"/>
      <c r="E73" s="42" t="s">
        <v>7</v>
      </c>
    </row>
    <row r="74" spans="1:5" ht="30" customHeight="1" thickBot="1">
      <c r="A74" s="169"/>
      <c r="B74" s="163"/>
      <c r="C74" s="50" t="s">
        <v>12</v>
      </c>
      <c r="D74" s="189"/>
      <c r="E74" s="25" t="s">
        <v>6</v>
      </c>
    </row>
    <row r="75" spans="1:5" ht="15" thickBot="1">
      <c r="A75" s="170"/>
      <c r="B75" s="164"/>
      <c r="C75" s="49" t="s">
        <v>13</v>
      </c>
      <c r="D75" s="190"/>
      <c r="E75" s="42" t="s">
        <v>7</v>
      </c>
    </row>
    <row r="76" spans="1:5" ht="15" thickBot="1">
      <c r="A76" s="153"/>
      <c r="B76" s="143"/>
      <c r="C76" s="152"/>
      <c r="D76" s="144"/>
      <c r="E76" s="154"/>
    </row>
    <row r="77" spans="1:5" ht="15" customHeight="1">
      <c r="A77" s="159" t="s">
        <v>55</v>
      </c>
      <c r="B77" s="162" t="s">
        <v>41</v>
      </c>
      <c r="C77" s="48" t="s">
        <v>10</v>
      </c>
      <c r="D77" s="185">
        <v>44641</v>
      </c>
      <c r="E77" s="24" t="s">
        <v>6</v>
      </c>
    </row>
    <row r="78" spans="1:5" ht="14.4" customHeight="1">
      <c r="A78" s="160"/>
      <c r="B78" s="163"/>
      <c r="C78" s="47" t="s">
        <v>11</v>
      </c>
      <c r="D78" s="186"/>
      <c r="E78" s="25" t="s">
        <v>6</v>
      </c>
    </row>
    <row r="79" spans="1:5" ht="30" customHeight="1">
      <c r="A79" s="160"/>
      <c r="B79" s="163"/>
      <c r="C79" s="46" t="s">
        <v>12</v>
      </c>
      <c r="D79" s="186"/>
      <c r="E79" s="25" t="s">
        <v>6</v>
      </c>
    </row>
    <row r="80" spans="1:5" ht="15" thickBot="1">
      <c r="A80" s="161"/>
      <c r="B80" s="164"/>
      <c r="C80" s="45" t="s">
        <v>13</v>
      </c>
      <c r="D80" s="187"/>
      <c r="E80" s="27" t="s">
        <v>6</v>
      </c>
    </row>
    <row r="81" spans="1:5" ht="15" customHeight="1" thickBot="1">
      <c r="A81" s="159" t="s">
        <v>56</v>
      </c>
      <c r="B81" s="162" t="s">
        <v>39</v>
      </c>
      <c r="C81" s="48" t="s">
        <v>10</v>
      </c>
      <c r="D81" s="185">
        <v>44636</v>
      </c>
      <c r="E81" s="27" t="s">
        <v>6</v>
      </c>
    </row>
    <row r="82" spans="1:5" ht="14.4" customHeight="1" thickBot="1">
      <c r="A82" s="160"/>
      <c r="B82" s="163"/>
      <c r="C82" s="47" t="s">
        <v>11</v>
      </c>
      <c r="D82" s="186"/>
      <c r="E82" s="27" t="s">
        <v>6</v>
      </c>
    </row>
    <row r="83" spans="1:5" ht="30" customHeight="1" thickBot="1">
      <c r="A83" s="160"/>
      <c r="B83" s="163"/>
      <c r="C83" s="46" t="s">
        <v>12</v>
      </c>
      <c r="D83" s="186"/>
      <c r="E83" s="27" t="s">
        <v>6</v>
      </c>
    </row>
    <row r="84" spans="1:5" ht="15" thickBot="1">
      <c r="A84" s="161"/>
      <c r="B84" s="164"/>
      <c r="C84" s="45" t="s">
        <v>13</v>
      </c>
      <c r="D84" s="187"/>
      <c r="E84" s="27" t="s">
        <v>6</v>
      </c>
    </row>
    <row r="85" spans="1:5" ht="15" customHeight="1" thickBot="1">
      <c r="A85" s="159" t="s">
        <v>57</v>
      </c>
      <c r="B85" s="162" t="s">
        <v>38</v>
      </c>
      <c r="C85" s="48" t="s">
        <v>10</v>
      </c>
      <c r="D85" s="185">
        <v>44636</v>
      </c>
      <c r="E85" s="42" t="s">
        <v>7</v>
      </c>
    </row>
    <row r="86" spans="1:5" ht="14.4" customHeight="1">
      <c r="A86" s="160"/>
      <c r="B86" s="163"/>
      <c r="C86" s="47" t="s">
        <v>11</v>
      </c>
      <c r="D86" s="186"/>
      <c r="E86" s="42" t="s">
        <v>7</v>
      </c>
    </row>
    <row r="87" spans="1:5" ht="30" customHeight="1" thickBot="1">
      <c r="A87" s="160"/>
      <c r="B87" s="163"/>
      <c r="C87" s="46" t="s">
        <v>12</v>
      </c>
      <c r="D87" s="186"/>
      <c r="E87" s="27" t="s">
        <v>6</v>
      </c>
    </row>
    <row r="88" spans="1:5" ht="15" thickBot="1">
      <c r="A88" s="161"/>
      <c r="B88" s="164"/>
      <c r="C88" s="45" t="s">
        <v>13</v>
      </c>
      <c r="D88" s="187"/>
      <c r="E88" s="27" t="s">
        <v>6</v>
      </c>
    </row>
    <row r="90" spans="1:5" ht="15.6">
      <c r="E90" s="90"/>
    </row>
    <row r="91" spans="1:5" ht="15.6">
      <c r="E91" s="90"/>
    </row>
    <row r="92" spans="1:5" ht="15.6">
      <c r="E92" s="90"/>
    </row>
  </sheetData>
  <mergeCells count="62">
    <mergeCell ref="A35:A38"/>
    <mergeCell ref="B35:B38"/>
    <mergeCell ref="D35:D38"/>
    <mergeCell ref="A40:A43"/>
    <mergeCell ref="B40:B43"/>
    <mergeCell ref="D40:D43"/>
    <mergeCell ref="A44:A47"/>
    <mergeCell ref="B44:B47"/>
    <mergeCell ref="D44:D47"/>
    <mergeCell ref="A48:A51"/>
    <mergeCell ref="B48:B51"/>
    <mergeCell ref="D48:D51"/>
    <mergeCell ref="A52:A55"/>
    <mergeCell ref="B52:B55"/>
    <mergeCell ref="D52:D55"/>
    <mergeCell ref="A56:A59"/>
    <mergeCell ref="B56:B59"/>
    <mergeCell ref="D56:D59"/>
    <mergeCell ref="B19:B22"/>
    <mergeCell ref="D19:D22"/>
    <mergeCell ref="A7:A10"/>
    <mergeCell ref="B7:B10"/>
    <mergeCell ref="D7:D10"/>
    <mergeCell ref="A11:A14"/>
    <mergeCell ref="B11:B14"/>
    <mergeCell ref="A31:A34"/>
    <mergeCell ref="B31:B34"/>
    <mergeCell ref="D31:D34"/>
    <mergeCell ref="A2:A6"/>
    <mergeCell ref="B2:B6"/>
    <mergeCell ref="D2:D6"/>
    <mergeCell ref="A23:A26"/>
    <mergeCell ref="B23:B26"/>
    <mergeCell ref="D23:D26"/>
    <mergeCell ref="A27:A30"/>
    <mergeCell ref="B27:B30"/>
    <mergeCell ref="D27:D30"/>
    <mergeCell ref="A15:A18"/>
    <mergeCell ref="B15:B18"/>
    <mergeCell ref="D15:D18"/>
    <mergeCell ref="A19:A22"/>
    <mergeCell ref="A60:A63"/>
    <mergeCell ref="B60:B63"/>
    <mergeCell ref="D60:D63"/>
    <mergeCell ref="A64:A67"/>
    <mergeCell ref="B64:B67"/>
    <mergeCell ref="D64:D67"/>
    <mergeCell ref="A68:A71"/>
    <mergeCell ref="B68:B71"/>
    <mergeCell ref="D68:D71"/>
    <mergeCell ref="A72:A75"/>
    <mergeCell ref="B72:B75"/>
    <mergeCell ref="D72:D75"/>
    <mergeCell ref="A85:A88"/>
    <mergeCell ref="B85:B88"/>
    <mergeCell ref="D85:D88"/>
    <mergeCell ref="A77:A80"/>
    <mergeCell ref="B77:B80"/>
    <mergeCell ref="D77:D80"/>
    <mergeCell ref="A81:A84"/>
    <mergeCell ref="B81:B84"/>
    <mergeCell ref="D81:D84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9"/>
  <sheetViews>
    <sheetView tabSelected="1" view="pageLayout" topLeftCell="A97" zoomScaleNormal="100" workbookViewId="0">
      <selection activeCell="C6" sqref="C6"/>
    </sheetView>
  </sheetViews>
  <sheetFormatPr baseColWidth="10" defaultRowHeight="14.4"/>
  <cols>
    <col min="1" max="1" width="2.77734375" style="15" customWidth="1"/>
    <col min="2" max="2" width="9.6640625" style="16" customWidth="1"/>
    <col min="3" max="3" width="38" style="5" customWidth="1"/>
    <col min="4" max="4" width="14.21875" style="22" customWidth="1"/>
    <col min="5" max="5" width="4.109375" style="5" customWidth="1"/>
    <col min="6" max="6" width="8.33203125" style="5" customWidth="1"/>
    <col min="7" max="7" width="9.88671875" style="5" customWidth="1"/>
    <col min="8" max="16384" width="11.5546875" style="5"/>
  </cols>
  <sheetData>
    <row r="1" spans="1:7" s="63" customFormat="1" ht="13.8">
      <c r="A1" s="58"/>
      <c r="B1" s="59"/>
      <c r="C1" s="60"/>
      <c r="D1" s="61"/>
      <c r="E1" s="61"/>
    </row>
    <row r="2" spans="1:7" s="63" customFormat="1" ht="13.8">
      <c r="A2" s="58"/>
      <c r="B2" s="59"/>
      <c r="C2" s="60"/>
      <c r="D2" s="61"/>
      <c r="E2" s="61"/>
      <c r="F2" s="62"/>
    </row>
    <row r="3" spans="1:7" s="63" customFormat="1" ht="13.8">
      <c r="A3" s="58"/>
      <c r="B3" s="59"/>
      <c r="C3" s="60"/>
      <c r="D3" s="61"/>
      <c r="E3" s="61"/>
      <c r="F3" s="62" t="s">
        <v>80</v>
      </c>
    </row>
    <row r="4" spans="1:7" s="63" customFormat="1" ht="13.8">
      <c r="A4" s="58"/>
      <c r="B4" s="64" t="s">
        <v>58</v>
      </c>
      <c r="C4" s="207" t="s">
        <v>59</v>
      </c>
      <c r="D4" s="61"/>
      <c r="E4" s="61"/>
    </row>
    <row r="5" spans="1:7" s="63" customFormat="1" ht="13.8">
      <c r="A5" s="58"/>
      <c r="B5" s="59"/>
      <c r="C5" s="207"/>
      <c r="D5" s="61"/>
      <c r="E5" s="61"/>
    </row>
    <row r="6" spans="1:7" s="63" customFormat="1" ht="13.8">
      <c r="A6" s="58"/>
      <c r="B6" s="59"/>
      <c r="C6" s="60"/>
      <c r="D6" s="61"/>
      <c r="E6" s="61"/>
    </row>
    <row r="7" spans="1:7" s="63" customFormat="1" ht="13.8">
      <c r="A7" s="58"/>
      <c r="D7" s="61"/>
      <c r="E7" s="61"/>
    </row>
    <row r="8" spans="1:7" s="63" customFormat="1" ht="13.8">
      <c r="B8" s="65" t="s">
        <v>60</v>
      </c>
      <c r="C8" s="61"/>
      <c r="D8" s="61"/>
      <c r="E8" s="61"/>
    </row>
    <row r="9" spans="1:7" s="63" customFormat="1" ht="13.8" customHeight="1">
      <c r="A9" s="207" t="s">
        <v>61</v>
      </c>
      <c r="B9" s="207"/>
      <c r="C9" s="207"/>
      <c r="D9" s="207"/>
      <c r="E9" s="207"/>
    </row>
    <row r="10" spans="1:7" s="63" customFormat="1" ht="14.4" customHeight="1">
      <c r="A10" s="207"/>
      <c r="B10" s="207"/>
      <c r="C10" s="207"/>
      <c r="D10" s="207"/>
      <c r="E10" s="207"/>
    </row>
    <row r="11" spans="1:7" s="63" customFormat="1" ht="14.4" customHeight="1">
      <c r="A11" s="66"/>
      <c r="B11" s="66"/>
      <c r="D11" s="66"/>
      <c r="E11" s="66"/>
    </row>
    <row r="12" spans="1:7" s="63" customFormat="1" ht="14.4" customHeight="1">
      <c r="A12" s="208" t="s">
        <v>79</v>
      </c>
      <c r="B12" s="208"/>
      <c r="C12" s="208"/>
      <c r="D12" s="208"/>
      <c r="E12" s="208"/>
      <c r="F12" s="208"/>
      <c r="G12" s="208"/>
    </row>
    <row r="13" spans="1:7" s="63" customFormat="1" ht="14.4" customHeight="1" thickBot="1">
      <c r="A13" s="67"/>
      <c r="B13" s="67"/>
      <c r="C13" s="67"/>
      <c r="D13" s="67"/>
      <c r="E13" s="67"/>
      <c r="F13" s="67"/>
      <c r="G13" s="67"/>
    </row>
    <row r="14" spans="1:7" s="116" customFormat="1" ht="30" customHeight="1" thickBot="1">
      <c r="A14" s="110" t="s">
        <v>0</v>
      </c>
      <c r="B14" s="111" t="s">
        <v>1</v>
      </c>
      <c r="C14" s="112" t="s">
        <v>2</v>
      </c>
      <c r="D14" s="113" t="s">
        <v>4</v>
      </c>
      <c r="E14" s="114" t="s">
        <v>62</v>
      </c>
      <c r="F14" s="115" t="s">
        <v>77</v>
      </c>
      <c r="G14" s="115" t="s">
        <v>63</v>
      </c>
    </row>
    <row r="15" spans="1:7" s="116" customFormat="1" ht="15" customHeight="1" thickBot="1">
      <c r="A15" s="197" t="s">
        <v>5</v>
      </c>
      <c r="B15" s="194" t="s">
        <v>48</v>
      </c>
      <c r="C15" s="68" t="s">
        <v>10</v>
      </c>
      <c r="D15" s="117" t="s">
        <v>7</v>
      </c>
      <c r="E15" s="69">
        <v>0.5</v>
      </c>
      <c r="F15" s="70">
        <v>190</v>
      </c>
      <c r="G15" s="70">
        <f t="shared" ref="G15:G79" si="0">E15*F15</f>
        <v>95</v>
      </c>
    </row>
    <row r="16" spans="1:7" s="116" customFormat="1" ht="14.4" customHeight="1" thickBot="1">
      <c r="A16" s="198"/>
      <c r="B16" s="195"/>
      <c r="C16" s="71" t="s">
        <v>11</v>
      </c>
      <c r="D16" s="119" t="s">
        <v>6</v>
      </c>
      <c r="E16" s="69">
        <v>1</v>
      </c>
      <c r="F16" s="70">
        <v>190</v>
      </c>
      <c r="G16" s="70">
        <f t="shared" si="0"/>
        <v>190</v>
      </c>
    </row>
    <row r="17" spans="1:7" s="116" customFormat="1" ht="30" customHeight="1" thickBot="1">
      <c r="A17" s="198"/>
      <c r="B17" s="195"/>
      <c r="C17" s="72" t="s">
        <v>12</v>
      </c>
      <c r="D17" s="119" t="s">
        <v>6</v>
      </c>
      <c r="E17" s="69">
        <v>1</v>
      </c>
      <c r="F17" s="70">
        <v>190</v>
      </c>
      <c r="G17" s="70">
        <f t="shared" si="0"/>
        <v>190</v>
      </c>
    </row>
    <row r="18" spans="1:7" s="116" customFormat="1" ht="12.6" thickBot="1">
      <c r="A18" s="198"/>
      <c r="B18" s="195"/>
      <c r="C18" s="73" t="s">
        <v>13</v>
      </c>
      <c r="D18" s="117" t="s">
        <v>7</v>
      </c>
      <c r="E18" s="69">
        <v>0.5</v>
      </c>
      <c r="F18" s="70">
        <v>190</v>
      </c>
      <c r="G18" s="70">
        <f t="shared" si="0"/>
        <v>95</v>
      </c>
    </row>
    <row r="19" spans="1:7" s="116" customFormat="1" ht="12.6" thickBot="1">
      <c r="A19" s="199"/>
      <c r="B19" s="196"/>
      <c r="C19" s="74" t="s">
        <v>47</v>
      </c>
      <c r="D19" s="117" t="s">
        <v>7</v>
      </c>
      <c r="E19" s="69">
        <v>0.5</v>
      </c>
      <c r="F19" s="70">
        <v>750</v>
      </c>
      <c r="G19" s="70">
        <f t="shared" si="0"/>
        <v>375</v>
      </c>
    </row>
    <row r="20" spans="1:7" s="116" customFormat="1" ht="15" customHeight="1" thickBot="1">
      <c r="A20" s="194">
        <v>2</v>
      </c>
      <c r="B20" s="194" t="s">
        <v>25</v>
      </c>
      <c r="C20" s="118" t="s">
        <v>10</v>
      </c>
      <c r="D20" s="119" t="s">
        <v>6</v>
      </c>
      <c r="E20" s="104">
        <v>1</v>
      </c>
      <c r="F20" s="70">
        <v>190</v>
      </c>
      <c r="G20" s="70">
        <f t="shared" si="0"/>
        <v>190</v>
      </c>
    </row>
    <row r="21" spans="1:7" s="116" customFormat="1" ht="14.4" customHeight="1" thickBot="1">
      <c r="A21" s="195"/>
      <c r="B21" s="195"/>
      <c r="C21" s="76" t="s">
        <v>18</v>
      </c>
      <c r="D21" s="120" t="s">
        <v>6</v>
      </c>
      <c r="E21" s="104">
        <v>1</v>
      </c>
      <c r="F21" s="70">
        <v>190</v>
      </c>
      <c r="G21" s="70">
        <f t="shared" si="0"/>
        <v>190</v>
      </c>
    </row>
    <row r="22" spans="1:7" s="116" customFormat="1" ht="30" customHeight="1" thickBot="1">
      <c r="A22" s="195"/>
      <c r="B22" s="195"/>
      <c r="C22" s="77" t="s">
        <v>12</v>
      </c>
      <c r="D22" s="120" t="s">
        <v>6</v>
      </c>
      <c r="E22" s="104">
        <v>1</v>
      </c>
      <c r="F22" s="70">
        <v>190</v>
      </c>
      <c r="G22" s="70">
        <f t="shared" si="0"/>
        <v>190</v>
      </c>
    </row>
    <row r="23" spans="1:7" s="116" customFormat="1" ht="12.6" thickBot="1">
      <c r="A23" s="196"/>
      <c r="B23" s="196"/>
      <c r="C23" s="78" t="s">
        <v>13</v>
      </c>
      <c r="D23" s="121" t="s">
        <v>6</v>
      </c>
      <c r="E23" s="104">
        <v>1</v>
      </c>
      <c r="F23" s="70">
        <v>190</v>
      </c>
      <c r="G23" s="70">
        <f t="shared" si="0"/>
        <v>190</v>
      </c>
    </row>
    <row r="24" spans="1:7" s="116" customFormat="1" ht="12.6" thickBot="1">
      <c r="A24" s="197" t="s">
        <v>8</v>
      </c>
      <c r="B24" s="202" t="s">
        <v>26</v>
      </c>
      <c r="C24" s="122" t="s">
        <v>10</v>
      </c>
      <c r="D24" s="119" t="s">
        <v>6</v>
      </c>
      <c r="E24" s="104">
        <v>1</v>
      </c>
      <c r="F24" s="70">
        <v>190</v>
      </c>
      <c r="G24" s="70">
        <f t="shared" si="0"/>
        <v>190</v>
      </c>
    </row>
    <row r="25" spans="1:7" s="116" customFormat="1" ht="12.6" thickBot="1">
      <c r="A25" s="198"/>
      <c r="B25" s="203"/>
      <c r="C25" s="79" t="s">
        <v>18</v>
      </c>
      <c r="D25" s="120" t="s">
        <v>6</v>
      </c>
      <c r="E25" s="104">
        <v>1</v>
      </c>
      <c r="F25" s="70">
        <v>190</v>
      </c>
      <c r="G25" s="70">
        <f t="shared" si="0"/>
        <v>190</v>
      </c>
    </row>
    <row r="26" spans="1:7" s="116" customFormat="1" ht="30" customHeight="1" thickBot="1">
      <c r="A26" s="198"/>
      <c r="B26" s="203"/>
      <c r="C26" s="123" t="s">
        <v>12</v>
      </c>
      <c r="D26" s="120" t="s">
        <v>6</v>
      </c>
      <c r="E26" s="104">
        <v>1</v>
      </c>
      <c r="F26" s="70">
        <v>190</v>
      </c>
      <c r="G26" s="70">
        <f t="shared" si="0"/>
        <v>190</v>
      </c>
    </row>
    <row r="27" spans="1:7" s="116" customFormat="1" ht="12.6" thickBot="1">
      <c r="A27" s="199"/>
      <c r="B27" s="204"/>
      <c r="C27" s="85" t="s">
        <v>13</v>
      </c>
      <c r="D27" s="121" t="s">
        <v>6</v>
      </c>
      <c r="E27" s="104">
        <v>1</v>
      </c>
      <c r="F27" s="70">
        <v>190</v>
      </c>
      <c r="G27" s="70">
        <f t="shared" si="0"/>
        <v>190</v>
      </c>
    </row>
    <row r="28" spans="1:7" s="116" customFormat="1" ht="12.6" thickBot="1">
      <c r="A28" s="198" t="s">
        <v>14</v>
      </c>
      <c r="B28" s="195" t="s">
        <v>28</v>
      </c>
      <c r="C28" s="75" t="s">
        <v>10</v>
      </c>
      <c r="D28" s="124" t="s">
        <v>6</v>
      </c>
      <c r="E28" s="104">
        <v>1</v>
      </c>
      <c r="F28" s="70">
        <v>190</v>
      </c>
      <c r="G28" s="70">
        <f t="shared" si="0"/>
        <v>190</v>
      </c>
    </row>
    <row r="29" spans="1:7" s="116" customFormat="1" ht="12.6" thickBot="1">
      <c r="A29" s="198"/>
      <c r="B29" s="195"/>
      <c r="C29" s="76" t="s">
        <v>18</v>
      </c>
      <c r="D29" s="125" t="s">
        <v>7</v>
      </c>
      <c r="E29" s="104">
        <v>0.5</v>
      </c>
      <c r="F29" s="70">
        <v>190</v>
      </c>
      <c r="G29" s="70">
        <f t="shared" si="0"/>
        <v>95</v>
      </c>
    </row>
    <row r="30" spans="1:7" s="116" customFormat="1" ht="30" customHeight="1" thickBot="1">
      <c r="A30" s="198"/>
      <c r="B30" s="195"/>
      <c r="C30" s="77" t="s">
        <v>12</v>
      </c>
      <c r="D30" s="120" t="s">
        <v>6</v>
      </c>
      <c r="E30" s="104">
        <v>1</v>
      </c>
      <c r="F30" s="70">
        <v>190</v>
      </c>
      <c r="G30" s="70">
        <f t="shared" si="0"/>
        <v>190</v>
      </c>
    </row>
    <row r="31" spans="1:7" s="116" customFormat="1" ht="12.6" thickBot="1">
      <c r="A31" s="199"/>
      <c r="B31" s="196"/>
      <c r="C31" s="78" t="s">
        <v>13</v>
      </c>
      <c r="D31" s="126" t="s">
        <v>6</v>
      </c>
      <c r="E31" s="104">
        <v>1</v>
      </c>
      <c r="F31" s="70">
        <v>190</v>
      </c>
      <c r="G31" s="70">
        <f t="shared" si="0"/>
        <v>190</v>
      </c>
    </row>
    <row r="32" spans="1:7" s="116" customFormat="1" ht="12.6" thickBot="1">
      <c r="A32" s="197" t="s">
        <v>16</v>
      </c>
      <c r="B32" s="194" t="s">
        <v>37</v>
      </c>
      <c r="C32" s="118" t="s">
        <v>30</v>
      </c>
      <c r="D32" s="124" t="s">
        <v>6</v>
      </c>
      <c r="E32" s="104">
        <v>1</v>
      </c>
      <c r="F32" s="70">
        <v>190</v>
      </c>
      <c r="G32" s="70">
        <f t="shared" si="0"/>
        <v>190</v>
      </c>
    </row>
    <row r="33" spans="1:7" s="116" customFormat="1" ht="12.6" thickBot="1">
      <c r="A33" s="198"/>
      <c r="B33" s="195"/>
      <c r="C33" s="76" t="s">
        <v>18</v>
      </c>
      <c r="D33" s="120" t="s">
        <v>6</v>
      </c>
      <c r="E33" s="104">
        <v>1</v>
      </c>
      <c r="F33" s="70">
        <v>190</v>
      </c>
      <c r="G33" s="70">
        <f t="shared" si="0"/>
        <v>190</v>
      </c>
    </row>
    <row r="34" spans="1:7" s="116" customFormat="1" ht="30" customHeight="1" thickBot="1">
      <c r="A34" s="198"/>
      <c r="B34" s="195"/>
      <c r="C34" s="77" t="s">
        <v>12</v>
      </c>
      <c r="D34" s="120" t="s">
        <v>6</v>
      </c>
      <c r="E34" s="104">
        <v>1</v>
      </c>
      <c r="F34" s="70">
        <v>190</v>
      </c>
      <c r="G34" s="70">
        <f t="shared" si="0"/>
        <v>190</v>
      </c>
    </row>
    <row r="35" spans="1:7" s="116" customFormat="1" ht="12.6" thickBot="1">
      <c r="A35" s="199"/>
      <c r="B35" s="196"/>
      <c r="C35" s="78" t="s">
        <v>13</v>
      </c>
      <c r="D35" s="120" t="s">
        <v>6</v>
      </c>
      <c r="E35" s="104">
        <v>1</v>
      </c>
      <c r="F35" s="70">
        <v>190</v>
      </c>
      <c r="G35" s="70">
        <f t="shared" si="0"/>
        <v>190</v>
      </c>
    </row>
    <row r="36" spans="1:7" s="116" customFormat="1" ht="15" customHeight="1" thickBot="1">
      <c r="A36" s="197" t="s">
        <v>19</v>
      </c>
      <c r="B36" s="194" t="s">
        <v>31</v>
      </c>
      <c r="C36" s="118" t="s">
        <v>10</v>
      </c>
      <c r="D36" s="120" t="s">
        <v>6</v>
      </c>
      <c r="E36" s="104">
        <v>1</v>
      </c>
      <c r="F36" s="70">
        <v>190</v>
      </c>
      <c r="G36" s="70">
        <f t="shared" si="0"/>
        <v>190</v>
      </c>
    </row>
    <row r="37" spans="1:7" s="116" customFormat="1" ht="14.4" customHeight="1" thickBot="1">
      <c r="A37" s="198"/>
      <c r="B37" s="195"/>
      <c r="C37" s="76" t="s">
        <v>18</v>
      </c>
      <c r="D37" s="120" t="s">
        <v>6</v>
      </c>
      <c r="E37" s="104">
        <v>1</v>
      </c>
      <c r="F37" s="70">
        <v>190</v>
      </c>
      <c r="G37" s="70">
        <f t="shared" si="0"/>
        <v>190</v>
      </c>
    </row>
    <row r="38" spans="1:7" s="116" customFormat="1" ht="30" customHeight="1" thickBot="1">
      <c r="A38" s="198"/>
      <c r="B38" s="195"/>
      <c r="C38" s="77" t="s">
        <v>12</v>
      </c>
      <c r="D38" s="120" t="s">
        <v>6</v>
      </c>
      <c r="E38" s="104">
        <v>1</v>
      </c>
      <c r="F38" s="70">
        <v>190</v>
      </c>
      <c r="G38" s="70">
        <f t="shared" si="0"/>
        <v>190</v>
      </c>
    </row>
    <row r="39" spans="1:7" s="116" customFormat="1" ht="12.6" thickBot="1">
      <c r="A39" s="199"/>
      <c r="B39" s="196"/>
      <c r="C39" s="78" t="s">
        <v>13</v>
      </c>
      <c r="D39" s="120" t="s">
        <v>6</v>
      </c>
      <c r="E39" s="105">
        <v>1</v>
      </c>
      <c r="F39" s="81">
        <v>190</v>
      </c>
      <c r="G39" s="81">
        <f t="shared" si="0"/>
        <v>190</v>
      </c>
    </row>
    <row r="40" spans="1:7" s="116" customFormat="1" ht="12.6" thickBot="1">
      <c r="A40" s="197" t="s">
        <v>40</v>
      </c>
      <c r="B40" s="194" t="s">
        <v>32</v>
      </c>
      <c r="C40" s="118" t="s">
        <v>10</v>
      </c>
      <c r="D40" s="125" t="s">
        <v>7</v>
      </c>
      <c r="E40" s="106">
        <v>0.5</v>
      </c>
      <c r="F40" s="82">
        <v>190</v>
      </c>
      <c r="G40" s="83">
        <f t="shared" si="0"/>
        <v>95</v>
      </c>
    </row>
    <row r="41" spans="1:7" s="116" customFormat="1" ht="12.6" thickBot="1">
      <c r="A41" s="198"/>
      <c r="B41" s="195"/>
      <c r="C41" s="76" t="s">
        <v>18</v>
      </c>
      <c r="D41" s="120" t="s">
        <v>6</v>
      </c>
      <c r="E41" s="104">
        <v>1</v>
      </c>
      <c r="F41" s="70">
        <v>190</v>
      </c>
      <c r="G41" s="84">
        <f t="shared" si="0"/>
        <v>190</v>
      </c>
    </row>
    <row r="42" spans="1:7" s="116" customFormat="1" ht="30" customHeight="1" thickBot="1">
      <c r="A42" s="198"/>
      <c r="B42" s="195"/>
      <c r="C42" s="77" t="s">
        <v>12</v>
      </c>
      <c r="D42" s="120" t="s">
        <v>6</v>
      </c>
      <c r="E42" s="104">
        <v>1</v>
      </c>
      <c r="F42" s="70">
        <v>190</v>
      </c>
      <c r="G42" s="84">
        <f t="shared" si="0"/>
        <v>190</v>
      </c>
    </row>
    <row r="43" spans="1:7" s="116" customFormat="1" ht="12.6" thickBot="1">
      <c r="A43" s="199"/>
      <c r="B43" s="196"/>
      <c r="C43" s="78" t="s">
        <v>13</v>
      </c>
      <c r="D43" s="121" t="s">
        <v>6</v>
      </c>
      <c r="E43" s="107">
        <v>1</v>
      </c>
      <c r="F43" s="86">
        <v>190</v>
      </c>
      <c r="G43" s="87">
        <f t="shared" si="0"/>
        <v>190</v>
      </c>
    </row>
    <row r="44" spans="1:7" s="116" customFormat="1" ht="12.6" thickBot="1">
      <c r="A44" s="136"/>
      <c r="B44" s="137"/>
      <c r="C44" s="134"/>
      <c r="D44" s="138"/>
      <c r="E44" s="139"/>
      <c r="F44" s="140"/>
      <c r="G44" s="140"/>
    </row>
    <row r="45" spans="1:7" s="116" customFormat="1" ht="12.6" thickBot="1">
      <c r="A45" s="197" t="s">
        <v>23</v>
      </c>
      <c r="B45" s="194" t="s">
        <v>33</v>
      </c>
      <c r="C45" s="118" t="s">
        <v>10</v>
      </c>
      <c r="D45" s="119" t="s">
        <v>6</v>
      </c>
      <c r="E45" s="106">
        <v>1</v>
      </c>
      <c r="F45" s="82">
        <v>190</v>
      </c>
      <c r="G45" s="83">
        <f t="shared" si="0"/>
        <v>190</v>
      </c>
    </row>
    <row r="46" spans="1:7" s="116" customFormat="1" ht="12.6" thickBot="1">
      <c r="A46" s="198"/>
      <c r="B46" s="195"/>
      <c r="C46" s="76" t="s">
        <v>18</v>
      </c>
      <c r="D46" s="120" t="s">
        <v>6</v>
      </c>
      <c r="E46" s="104">
        <v>1</v>
      </c>
      <c r="F46" s="70">
        <v>190</v>
      </c>
      <c r="G46" s="84">
        <f t="shared" si="0"/>
        <v>190</v>
      </c>
    </row>
    <row r="47" spans="1:7" s="116" customFormat="1" ht="30" customHeight="1" thickBot="1">
      <c r="A47" s="198"/>
      <c r="B47" s="195"/>
      <c r="C47" s="77" t="s">
        <v>12</v>
      </c>
      <c r="D47" s="120" t="s">
        <v>6</v>
      </c>
      <c r="E47" s="108">
        <v>1</v>
      </c>
      <c r="F47" s="81">
        <v>190</v>
      </c>
      <c r="G47" s="135">
        <f t="shared" si="0"/>
        <v>190</v>
      </c>
    </row>
    <row r="48" spans="1:7" s="116" customFormat="1" ht="12.6" thickBot="1">
      <c r="A48" s="199"/>
      <c r="B48" s="196"/>
      <c r="C48" s="78" t="s">
        <v>13</v>
      </c>
      <c r="D48" s="121" t="s">
        <v>6</v>
      </c>
      <c r="E48" s="109">
        <v>1</v>
      </c>
      <c r="F48" s="88">
        <v>190</v>
      </c>
      <c r="G48" s="88">
        <f t="shared" si="0"/>
        <v>190</v>
      </c>
    </row>
    <row r="49" spans="1:7" s="116" customFormat="1" ht="15" customHeight="1" thickBot="1">
      <c r="A49" s="191" t="s">
        <v>24</v>
      </c>
      <c r="B49" s="202" t="s">
        <v>9</v>
      </c>
      <c r="C49" s="122" t="s">
        <v>10</v>
      </c>
      <c r="D49" s="124" t="s">
        <v>6</v>
      </c>
      <c r="E49" s="109">
        <v>1</v>
      </c>
      <c r="F49" s="88">
        <v>190</v>
      </c>
      <c r="G49" s="88">
        <f t="shared" si="0"/>
        <v>190</v>
      </c>
    </row>
    <row r="50" spans="1:7" s="116" customFormat="1" ht="14.4" customHeight="1" thickBot="1">
      <c r="A50" s="192"/>
      <c r="B50" s="203"/>
      <c r="C50" s="79" t="s">
        <v>11</v>
      </c>
      <c r="D50" s="120" t="s">
        <v>6</v>
      </c>
      <c r="E50" s="109">
        <v>1</v>
      </c>
      <c r="F50" s="88">
        <v>190</v>
      </c>
      <c r="G50" s="88">
        <f t="shared" si="0"/>
        <v>190</v>
      </c>
    </row>
    <row r="51" spans="1:7" s="116" customFormat="1" ht="30" customHeight="1" thickBot="1">
      <c r="A51" s="192"/>
      <c r="B51" s="203"/>
      <c r="C51" s="80" t="s">
        <v>12</v>
      </c>
      <c r="D51" s="120" t="s">
        <v>6</v>
      </c>
      <c r="E51" s="109">
        <v>1</v>
      </c>
      <c r="F51" s="88">
        <v>190</v>
      </c>
      <c r="G51" s="88">
        <f t="shared" si="0"/>
        <v>190</v>
      </c>
    </row>
    <row r="52" spans="1:7" s="116" customFormat="1" ht="12.6" thickBot="1">
      <c r="A52" s="193"/>
      <c r="B52" s="204"/>
      <c r="C52" s="85" t="s">
        <v>13</v>
      </c>
      <c r="D52" s="121" t="s">
        <v>6</v>
      </c>
      <c r="E52" s="109">
        <v>1</v>
      </c>
      <c r="F52" s="88">
        <v>190</v>
      </c>
      <c r="G52" s="88">
        <f t="shared" si="0"/>
        <v>190</v>
      </c>
    </row>
    <row r="53" spans="1:7" s="116" customFormat="1" ht="12.6" thickBot="1">
      <c r="A53" s="191" t="s">
        <v>35</v>
      </c>
      <c r="B53" s="194" t="s">
        <v>15</v>
      </c>
      <c r="C53" s="118" t="s">
        <v>10</v>
      </c>
      <c r="D53" s="127" t="s">
        <v>6</v>
      </c>
      <c r="E53" s="109">
        <v>1</v>
      </c>
      <c r="F53" s="88">
        <v>190</v>
      </c>
      <c r="G53" s="88">
        <f t="shared" si="0"/>
        <v>190</v>
      </c>
    </row>
    <row r="54" spans="1:7" s="116" customFormat="1" ht="14.4" customHeight="1" thickBot="1">
      <c r="A54" s="192"/>
      <c r="B54" s="195"/>
      <c r="C54" s="76" t="s">
        <v>11</v>
      </c>
      <c r="D54" s="125" t="s">
        <v>7</v>
      </c>
      <c r="E54" s="109">
        <v>0.5</v>
      </c>
      <c r="F54" s="88">
        <v>190</v>
      </c>
      <c r="G54" s="88">
        <f t="shared" si="0"/>
        <v>95</v>
      </c>
    </row>
    <row r="55" spans="1:7" s="116" customFormat="1" ht="30" customHeight="1" thickBot="1">
      <c r="A55" s="192"/>
      <c r="B55" s="195"/>
      <c r="C55" s="77" t="s">
        <v>12</v>
      </c>
      <c r="D55" s="121" t="s">
        <v>6</v>
      </c>
      <c r="E55" s="109">
        <v>1</v>
      </c>
      <c r="F55" s="88">
        <v>190</v>
      </c>
      <c r="G55" s="88">
        <f t="shared" si="0"/>
        <v>190</v>
      </c>
    </row>
    <row r="56" spans="1:7" s="116" customFormat="1" ht="12.6" thickBot="1">
      <c r="A56" s="193"/>
      <c r="B56" s="196"/>
      <c r="C56" s="78" t="s">
        <v>13</v>
      </c>
      <c r="D56" s="121" t="s">
        <v>6</v>
      </c>
      <c r="E56" s="109">
        <v>1</v>
      </c>
      <c r="F56" s="88">
        <v>190</v>
      </c>
      <c r="G56" s="88">
        <f t="shared" si="0"/>
        <v>190</v>
      </c>
    </row>
    <row r="57" spans="1:7" s="116" customFormat="1" ht="12.6" thickBot="1">
      <c r="A57" s="191" t="s">
        <v>49</v>
      </c>
      <c r="B57" s="194" t="s">
        <v>17</v>
      </c>
      <c r="C57" s="118" t="s">
        <v>10</v>
      </c>
      <c r="D57" s="125" t="s">
        <v>7</v>
      </c>
      <c r="E57" s="109">
        <v>0.5</v>
      </c>
      <c r="F57" s="88">
        <v>190</v>
      </c>
      <c r="G57" s="88">
        <f t="shared" si="0"/>
        <v>95</v>
      </c>
    </row>
    <row r="58" spans="1:7" s="116" customFormat="1" ht="12.6" thickBot="1">
      <c r="A58" s="192"/>
      <c r="B58" s="195"/>
      <c r="C58" s="76" t="s">
        <v>18</v>
      </c>
      <c r="D58" s="120" t="s">
        <v>6</v>
      </c>
      <c r="E58" s="109">
        <v>1</v>
      </c>
      <c r="F58" s="88">
        <v>190</v>
      </c>
      <c r="G58" s="88">
        <f t="shared" si="0"/>
        <v>190</v>
      </c>
    </row>
    <row r="59" spans="1:7" s="116" customFormat="1" ht="30" customHeight="1" thickBot="1">
      <c r="A59" s="192"/>
      <c r="B59" s="195"/>
      <c r="C59" s="77" t="s">
        <v>12</v>
      </c>
      <c r="D59" s="120" t="s">
        <v>6</v>
      </c>
      <c r="E59" s="109">
        <v>1</v>
      </c>
      <c r="F59" s="88">
        <v>190</v>
      </c>
      <c r="G59" s="88">
        <f t="shared" si="0"/>
        <v>190</v>
      </c>
    </row>
    <row r="60" spans="1:7" s="116" customFormat="1" ht="12.6" thickBot="1">
      <c r="A60" s="193"/>
      <c r="B60" s="196"/>
      <c r="C60" s="78" t="s">
        <v>13</v>
      </c>
      <c r="D60" s="120" t="s">
        <v>6</v>
      </c>
      <c r="E60" s="109">
        <v>1</v>
      </c>
      <c r="F60" s="88">
        <v>190</v>
      </c>
      <c r="G60" s="88">
        <f t="shared" si="0"/>
        <v>190</v>
      </c>
    </row>
    <row r="61" spans="1:7" s="116" customFormat="1" ht="12.6" thickBot="1">
      <c r="A61" s="191" t="s">
        <v>27</v>
      </c>
      <c r="B61" s="194" t="s">
        <v>20</v>
      </c>
      <c r="C61" s="118" t="s">
        <v>10</v>
      </c>
      <c r="D61" s="125" t="s">
        <v>7</v>
      </c>
      <c r="E61" s="109">
        <v>0.5</v>
      </c>
      <c r="F61" s="88">
        <v>190</v>
      </c>
      <c r="G61" s="88">
        <f t="shared" si="0"/>
        <v>95</v>
      </c>
    </row>
    <row r="62" spans="1:7" s="116" customFormat="1" ht="12.6" thickBot="1">
      <c r="A62" s="192"/>
      <c r="B62" s="195"/>
      <c r="C62" s="76" t="s">
        <v>18</v>
      </c>
      <c r="D62" s="120" t="s">
        <v>6</v>
      </c>
      <c r="E62" s="109">
        <v>1</v>
      </c>
      <c r="F62" s="88">
        <v>190</v>
      </c>
      <c r="G62" s="88">
        <f t="shared" si="0"/>
        <v>190</v>
      </c>
    </row>
    <row r="63" spans="1:7" s="116" customFormat="1" ht="30" customHeight="1" thickBot="1">
      <c r="A63" s="192"/>
      <c r="B63" s="195"/>
      <c r="C63" s="77" t="s">
        <v>21</v>
      </c>
      <c r="D63" s="120" t="s">
        <v>6</v>
      </c>
      <c r="E63" s="109">
        <v>1</v>
      </c>
      <c r="F63" s="88">
        <v>190</v>
      </c>
      <c r="G63" s="88">
        <f t="shared" si="0"/>
        <v>190</v>
      </c>
    </row>
    <row r="64" spans="1:7" s="116" customFormat="1" ht="12.6" thickBot="1">
      <c r="A64" s="193"/>
      <c r="B64" s="196"/>
      <c r="C64" s="78" t="s">
        <v>13</v>
      </c>
      <c r="D64" s="120" t="s">
        <v>6</v>
      </c>
      <c r="E64" s="109">
        <v>1</v>
      </c>
      <c r="F64" s="88">
        <v>190</v>
      </c>
      <c r="G64" s="88">
        <f t="shared" si="0"/>
        <v>190</v>
      </c>
    </row>
    <row r="65" spans="1:7" s="116" customFormat="1" ht="12.6" thickBot="1">
      <c r="A65" s="197" t="s">
        <v>29</v>
      </c>
      <c r="B65" s="195" t="s">
        <v>22</v>
      </c>
      <c r="C65" s="75" t="s">
        <v>10</v>
      </c>
      <c r="D65" s="124" t="s">
        <v>6</v>
      </c>
      <c r="E65" s="109">
        <v>1</v>
      </c>
      <c r="F65" s="88">
        <v>190</v>
      </c>
      <c r="G65" s="88">
        <f t="shared" si="0"/>
        <v>190</v>
      </c>
    </row>
    <row r="66" spans="1:7" s="116" customFormat="1" ht="12.6" thickBot="1">
      <c r="A66" s="198"/>
      <c r="B66" s="195"/>
      <c r="C66" s="76" t="s">
        <v>18</v>
      </c>
      <c r="D66" s="120" t="s">
        <v>6</v>
      </c>
      <c r="E66" s="109">
        <v>1</v>
      </c>
      <c r="F66" s="88">
        <v>190</v>
      </c>
      <c r="G66" s="88">
        <f t="shared" si="0"/>
        <v>190</v>
      </c>
    </row>
    <row r="67" spans="1:7" s="116" customFormat="1" ht="30" customHeight="1" thickBot="1">
      <c r="A67" s="198"/>
      <c r="B67" s="195"/>
      <c r="C67" s="77" t="s">
        <v>12</v>
      </c>
      <c r="D67" s="120" t="s">
        <v>6</v>
      </c>
      <c r="E67" s="109">
        <v>1</v>
      </c>
      <c r="F67" s="88">
        <v>190</v>
      </c>
      <c r="G67" s="88">
        <f t="shared" si="0"/>
        <v>190</v>
      </c>
    </row>
    <row r="68" spans="1:7" s="116" customFormat="1" ht="12.6" thickBot="1">
      <c r="A68" s="199"/>
      <c r="B68" s="196"/>
      <c r="C68" s="78" t="s">
        <v>13</v>
      </c>
      <c r="D68" s="121" t="s">
        <v>6</v>
      </c>
      <c r="E68" s="109">
        <v>1</v>
      </c>
      <c r="F68" s="88">
        <v>190</v>
      </c>
      <c r="G68" s="88">
        <f t="shared" si="0"/>
        <v>190</v>
      </c>
    </row>
    <row r="69" spans="1:7" s="116" customFormat="1" ht="12.6" thickBot="1">
      <c r="A69" s="197" t="s">
        <v>50</v>
      </c>
      <c r="B69" s="194" t="s">
        <v>36</v>
      </c>
      <c r="C69" s="118" t="s">
        <v>10</v>
      </c>
      <c r="D69" s="119" t="s">
        <v>6</v>
      </c>
      <c r="E69" s="109">
        <v>1</v>
      </c>
      <c r="F69" s="88">
        <v>190</v>
      </c>
      <c r="G69" s="88">
        <f t="shared" si="0"/>
        <v>190</v>
      </c>
    </row>
    <row r="70" spans="1:7" s="116" customFormat="1" ht="12.6" thickBot="1">
      <c r="A70" s="198"/>
      <c r="B70" s="195"/>
      <c r="C70" s="76" t="s">
        <v>18</v>
      </c>
      <c r="D70" s="120" t="s">
        <v>6</v>
      </c>
      <c r="E70" s="109">
        <v>1</v>
      </c>
      <c r="F70" s="88">
        <v>190</v>
      </c>
      <c r="G70" s="88">
        <f t="shared" si="0"/>
        <v>190</v>
      </c>
    </row>
    <row r="71" spans="1:7" s="116" customFormat="1" ht="30" customHeight="1" thickBot="1">
      <c r="A71" s="198"/>
      <c r="B71" s="195"/>
      <c r="C71" s="77" t="s">
        <v>12</v>
      </c>
      <c r="D71" s="120" t="s">
        <v>6</v>
      </c>
      <c r="E71" s="109">
        <v>1</v>
      </c>
      <c r="F71" s="88">
        <v>190</v>
      </c>
      <c r="G71" s="88">
        <f t="shared" si="0"/>
        <v>190</v>
      </c>
    </row>
    <row r="72" spans="1:7" s="116" customFormat="1" ht="12.6" thickBot="1">
      <c r="A72" s="199"/>
      <c r="B72" s="196"/>
      <c r="C72" s="78" t="s">
        <v>13</v>
      </c>
      <c r="D72" s="121" t="s">
        <v>6</v>
      </c>
      <c r="E72" s="109">
        <v>1</v>
      </c>
      <c r="F72" s="88">
        <v>190</v>
      </c>
      <c r="G72" s="88">
        <f t="shared" si="0"/>
        <v>190</v>
      </c>
    </row>
    <row r="73" spans="1:7" s="116" customFormat="1" ht="15" customHeight="1" thickBot="1">
      <c r="A73" s="191" t="s">
        <v>51</v>
      </c>
      <c r="B73" s="194" t="s">
        <v>46</v>
      </c>
      <c r="C73" s="118" t="s">
        <v>10</v>
      </c>
      <c r="D73" s="127" t="s">
        <v>6</v>
      </c>
      <c r="E73" s="109">
        <v>1</v>
      </c>
      <c r="F73" s="88">
        <v>190</v>
      </c>
      <c r="G73" s="88">
        <f t="shared" si="0"/>
        <v>190</v>
      </c>
    </row>
    <row r="74" spans="1:7" s="116" customFormat="1" ht="14.4" customHeight="1" thickBot="1">
      <c r="A74" s="192"/>
      <c r="B74" s="195"/>
      <c r="C74" s="76" t="s">
        <v>11</v>
      </c>
      <c r="D74" s="125" t="s">
        <v>7</v>
      </c>
      <c r="E74" s="109">
        <v>0.5</v>
      </c>
      <c r="F74" s="88">
        <v>190</v>
      </c>
      <c r="G74" s="88">
        <f t="shared" si="0"/>
        <v>95</v>
      </c>
    </row>
    <row r="75" spans="1:7" s="116" customFormat="1" ht="30" customHeight="1" thickBot="1">
      <c r="A75" s="192"/>
      <c r="B75" s="195"/>
      <c r="C75" s="77" t="s">
        <v>12</v>
      </c>
      <c r="D75" s="127" t="s">
        <v>6</v>
      </c>
      <c r="E75" s="109">
        <v>1</v>
      </c>
      <c r="F75" s="88">
        <v>190</v>
      </c>
      <c r="G75" s="88">
        <f t="shared" si="0"/>
        <v>190</v>
      </c>
    </row>
    <row r="76" spans="1:7" s="116" customFormat="1" ht="12.6" thickBot="1">
      <c r="A76" s="193"/>
      <c r="B76" s="196"/>
      <c r="C76" s="78" t="s">
        <v>13</v>
      </c>
      <c r="D76" s="125" t="s">
        <v>7</v>
      </c>
      <c r="E76" s="109">
        <v>0.5</v>
      </c>
      <c r="F76" s="88">
        <v>190</v>
      </c>
      <c r="G76" s="88">
        <f t="shared" si="0"/>
        <v>95</v>
      </c>
    </row>
    <row r="77" spans="1:7" s="116" customFormat="1" ht="14.4" customHeight="1" thickBot="1">
      <c r="A77" s="191" t="s">
        <v>52</v>
      </c>
      <c r="B77" s="194" t="s">
        <v>45</v>
      </c>
      <c r="C77" s="118" t="s">
        <v>10</v>
      </c>
      <c r="D77" s="125" t="s">
        <v>7</v>
      </c>
      <c r="E77" s="109">
        <v>0.5</v>
      </c>
      <c r="F77" s="88">
        <v>190</v>
      </c>
      <c r="G77" s="88">
        <f t="shared" si="0"/>
        <v>95</v>
      </c>
    </row>
    <row r="78" spans="1:7" s="116" customFormat="1" ht="12.6" thickBot="1">
      <c r="A78" s="192"/>
      <c r="B78" s="195"/>
      <c r="C78" s="76" t="s">
        <v>18</v>
      </c>
      <c r="D78" s="127" t="s">
        <v>6</v>
      </c>
      <c r="E78" s="109">
        <v>1</v>
      </c>
      <c r="F78" s="88">
        <v>190</v>
      </c>
      <c r="G78" s="88">
        <f t="shared" si="0"/>
        <v>190</v>
      </c>
    </row>
    <row r="79" spans="1:7" s="116" customFormat="1" ht="30" customHeight="1" thickBot="1">
      <c r="A79" s="192"/>
      <c r="B79" s="195"/>
      <c r="C79" s="77" t="s">
        <v>12</v>
      </c>
      <c r="D79" s="127" t="s">
        <v>6</v>
      </c>
      <c r="E79" s="109">
        <v>1</v>
      </c>
      <c r="F79" s="88">
        <v>190</v>
      </c>
      <c r="G79" s="88">
        <f t="shared" si="0"/>
        <v>190</v>
      </c>
    </row>
    <row r="80" spans="1:7" s="116" customFormat="1" ht="12.6" thickBot="1">
      <c r="A80" s="193"/>
      <c r="B80" s="196"/>
      <c r="C80" s="78" t="s">
        <v>13</v>
      </c>
      <c r="D80" s="117" t="s">
        <v>44</v>
      </c>
      <c r="E80" s="109">
        <v>0.5</v>
      </c>
      <c r="F80" s="88">
        <v>190</v>
      </c>
      <c r="G80" s="88">
        <f t="shared" ref="G80:G105" si="1">E80*F80</f>
        <v>95</v>
      </c>
    </row>
    <row r="81" spans="1:7" s="116" customFormat="1" ht="12">
      <c r="A81" s="136"/>
      <c r="B81" s="137"/>
      <c r="C81" s="134"/>
      <c r="D81" s="148"/>
      <c r="E81" s="139"/>
      <c r="F81" s="140"/>
      <c r="G81" s="140"/>
    </row>
    <row r="82" spans="1:7" s="116" customFormat="1" ht="12">
      <c r="A82" s="136"/>
      <c r="B82" s="137"/>
      <c r="C82" s="134"/>
      <c r="D82" s="148"/>
      <c r="E82" s="139"/>
      <c r="F82" s="140"/>
      <c r="G82" s="140"/>
    </row>
    <row r="83" spans="1:7" s="116" customFormat="1" ht="12">
      <c r="A83" s="136"/>
      <c r="B83" s="137"/>
      <c r="C83" s="134"/>
      <c r="D83" s="148"/>
      <c r="E83" s="139"/>
      <c r="F83" s="140"/>
      <c r="G83" s="140"/>
    </row>
    <row r="84" spans="1:7" s="116" customFormat="1" ht="12">
      <c r="A84" s="136"/>
      <c r="B84" s="137"/>
      <c r="C84" s="134"/>
      <c r="D84" s="148"/>
      <c r="E84" s="139"/>
      <c r="F84" s="140"/>
      <c r="G84" s="140"/>
    </row>
    <row r="85" spans="1:7" s="116" customFormat="1" ht="12">
      <c r="A85" s="136"/>
      <c r="B85" s="137"/>
      <c r="C85" s="134"/>
      <c r="D85" s="148"/>
      <c r="E85" s="139"/>
      <c r="F85" s="140"/>
      <c r="G85" s="140"/>
    </row>
    <row r="86" spans="1:7" s="116" customFormat="1" ht="15" customHeight="1" thickBot="1">
      <c r="A86" s="192" t="s">
        <v>53</v>
      </c>
      <c r="B86" s="195" t="s">
        <v>43</v>
      </c>
      <c r="C86" s="75" t="s">
        <v>10</v>
      </c>
      <c r="D86" s="145" t="s">
        <v>6</v>
      </c>
      <c r="E86" s="146">
        <v>1</v>
      </c>
      <c r="F86" s="147">
        <v>190</v>
      </c>
      <c r="G86" s="147">
        <f t="shared" si="1"/>
        <v>190</v>
      </c>
    </row>
    <row r="87" spans="1:7" s="116" customFormat="1" ht="12.6" thickBot="1">
      <c r="A87" s="192"/>
      <c r="B87" s="195"/>
      <c r="C87" s="76" t="s">
        <v>18</v>
      </c>
      <c r="D87" s="127" t="s">
        <v>6</v>
      </c>
      <c r="E87" s="109">
        <v>1</v>
      </c>
      <c r="F87" s="88">
        <v>190</v>
      </c>
      <c r="G87" s="88">
        <f t="shared" si="1"/>
        <v>190</v>
      </c>
    </row>
    <row r="88" spans="1:7" s="116" customFormat="1" ht="30" customHeight="1" thickBot="1">
      <c r="A88" s="192"/>
      <c r="B88" s="195"/>
      <c r="C88" s="77" t="s">
        <v>21</v>
      </c>
      <c r="D88" s="127" t="s">
        <v>6</v>
      </c>
      <c r="E88" s="109">
        <v>1</v>
      </c>
      <c r="F88" s="88">
        <v>190</v>
      </c>
      <c r="G88" s="88">
        <f t="shared" si="1"/>
        <v>190</v>
      </c>
    </row>
    <row r="89" spans="1:7" s="116" customFormat="1" ht="12.6" thickBot="1">
      <c r="A89" s="193"/>
      <c r="B89" s="196"/>
      <c r="C89" s="78" t="s">
        <v>13</v>
      </c>
      <c r="D89" s="127" t="s">
        <v>6</v>
      </c>
      <c r="E89" s="109">
        <v>1</v>
      </c>
      <c r="F89" s="88">
        <v>190</v>
      </c>
      <c r="G89" s="88">
        <f t="shared" si="1"/>
        <v>190</v>
      </c>
    </row>
    <row r="90" spans="1:7" s="116" customFormat="1" ht="15" customHeight="1" thickBot="1">
      <c r="A90" s="197" t="s">
        <v>54</v>
      </c>
      <c r="B90" s="194" t="s">
        <v>42</v>
      </c>
      <c r="C90" s="75" t="s">
        <v>10</v>
      </c>
      <c r="D90" s="125" t="s">
        <v>7</v>
      </c>
      <c r="E90" s="109">
        <v>0.5</v>
      </c>
      <c r="F90" s="88">
        <v>190</v>
      </c>
      <c r="G90" s="88">
        <f t="shared" si="1"/>
        <v>95</v>
      </c>
    </row>
    <row r="91" spans="1:7" s="116" customFormat="1" ht="12.6" thickBot="1">
      <c r="A91" s="198"/>
      <c r="B91" s="195"/>
      <c r="C91" s="76" t="s">
        <v>18</v>
      </c>
      <c r="D91" s="125" t="s">
        <v>7</v>
      </c>
      <c r="E91" s="109">
        <v>0.5</v>
      </c>
      <c r="F91" s="88">
        <v>190</v>
      </c>
      <c r="G91" s="88">
        <f t="shared" si="1"/>
        <v>95</v>
      </c>
    </row>
    <row r="92" spans="1:7" s="116" customFormat="1" ht="30" customHeight="1" thickBot="1">
      <c r="A92" s="198"/>
      <c r="B92" s="195"/>
      <c r="C92" s="77" t="s">
        <v>12</v>
      </c>
      <c r="D92" s="120" t="s">
        <v>6</v>
      </c>
      <c r="E92" s="109">
        <v>1</v>
      </c>
      <c r="F92" s="88">
        <v>190</v>
      </c>
      <c r="G92" s="88">
        <f t="shared" si="1"/>
        <v>190</v>
      </c>
    </row>
    <row r="93" spans="1:7" s="116" customFormat="1" ht="12.6" thickBot="1">
      <c r="A93" s="199"/>
      <c r="B93" s="196"/>
      <c r="C93" s="78" t="s">
        <v>13</v>
      </c>
      <c r="D93" s="125" t="s">
        <v>7</v>
      </c>
      <c r="E93" s="109">
        <v>0.5</v>
      </c>
      <c r="F93" s="88">
        <v>190</v>
      </c>
      <c r="G93" s="88">
        <f t="shared" si="1"/>
        <v>95</v>
      </c>
    </row>
    <row r="94" spans="1:7" s="116" customFormat="1" ht="15" customHeight="1" thickBot="1">
      <c r="A94" s="191" t="s">
        <v>55</v>
      </c>
      <c r="B94" s="194" t="s">
        <v>41</v>
      </c>
      <c r="C94" s="122" t="s">
        <v>10</v>
      </c>
      <c r="D94" s="124" t="s">
        <v>6</v>
      </c>
      <c r="E94" s="109">
        <v>1</v>
      </c>
      <c r="F94" s="88">
        <v>190</v>
      </c>
      <c r="G94" s="88">
        <f t="shared" si="1"/>
        <v>190</v>
      </c>
    </row>
    <row r="95" spans="1:7" s="116" customFormat="1" ht="14.4" customHeight="1" thickBot="1">
      <c r="A95" s="192"/>
      <c r="B95" s="195"/>
      <c r="C95" s="79" t="s">
        <v>11</v>
      </c>
      <c r="D95" s="120" t="s">
        <v>6</v>
      </c>
      <c r="E95" s="109">
        <v>1</v>
      </c>
      <c r="F95" s="88">
        <v>190</v>
      </c>
      <c r="G95" s="88">
        <f t="shared" si="1"/>
        <v>190</v>
      </c>
    </row>
    <row r="96" spans="1:7" s="116" customFormat="1" ht="30" customHeight="1" thickBot="1">
      <c r="A96" s="192"/>
      <c r="B96" s="195"/>
      <c r="C96" s="80" t="s">
        <v>12</v>
      </c>
      <c r="D96" s="120" t="s">
        <v>6</v>
      </c>
      <c r="E96" s="109">
        <v>1</v>
      </c>
      <c r="F96" s="88">
        <v>190</v>
      </c>
      <c r="G96" s="88">
        <f t="shared" si="1"/>
        <v>190</v>
      </c>
    </row>
    <row r="97" spans="1:7" s="116" customFormat="1" ht="12.6" thickBot="1">
      <c r="A97" s="193"/>
      <c r="B97" s="196"/>
      <c r="C97" s="85" t="s">
        <v>13</v>
      </c>
      <c r="D97" s="121" t="s">
        <v>6</v>
      </c>
      <c r="E97" s="109">
        <v>1</v>
      </c>
      <c r="F97" s="88">
        <v>190</v>
      </c>
      <c r="G97" s="88">
        <f t="shared" si="1"/>
        <v>190</v>
      </c>
    </row>
    <row r="98" spans="1:7" s="116" customFormat="1" ht="15" customHeight="1" thickBot="1">
      <c r="A98" s="191" t="s">
        <v>56</v>
      </c>
      <c r="B98" s="194" t="s">
        <v>39</v>
      </c>
      <c r="C98" s="122" t="s">
        <v>10</v>
      </c>
      <c r="D98" s="121" t="s">
        <v>6</v>
      </c>
      <c r="E98" s="109">
        <v>1</v>
      </c>
      <c r="F98" s="88">
        <v>190</v>
      </c>
      <c r="G98" s="88">
        <f t="shared" si="1"/>
        <v>190</v>
      </c>
    </row>
    <row r="99" spans="1:7" s="116" customFormat="1" ht="14.4" customHeight="1" thickBot="1">
      <c r="A99" s="192"/>
      <c r="B99" s="195"/>
      <c r="C99" s="79" t="s">
        <v>11</v>
      </c>
      <c r="D99" s="121" t="s">
        <v>6</v>
      </c>
      <c r="E99" s="109">
        <v>1</v>
      </c>
      <c r="F99" s="88">
        <v>190</v>
      </c>
      <c r="G99" s="88">
        <f t="shared" si="1"/>
        <v>190</v>
      </c>
    </row>
    <row r="100" spans="1:7" s="116" customFormat="1" ht="30" customHeight="1" thickBot="1">
      <c r="A100" s="192"/>
      <c r="B100" s="195"/>
      <c r="C100" s="80" t="s">
        <v>12</v>
      </c>
      <c r="D100" s="121" t="s">
        <v>6</v>
      </c>
      <c r="E100" s="109">
        <v>1</v>
      </c>
      <c r="F100" s="88">
        <v>190</v>
      </c>
      <c r="G100" s="88">
        <f t="shared" si="1"/>
        <v>190</v>
      </c>
    </row>
    <row r="101" spans="1:7" s="116" customFormat="1" ht="12.6" thickBot="1">
      <c r="A101" s="193"/>
      <c r="B101" s="196"/>
      <c r="C101" s="85" t="s">
        <v>13</v>
      </c>
      <c r="D101" s="121" t="s">
        <v>6</v>
      </c>
      <c r="E101" s="109">
        <v>1</v>
      </c>
      <c r="F101" s="88">
        <v>190</v>
      </c>
      <c r="G101" s="88">
        <f t="shared" si="1"/>
        <v>190</v>
      </c>
    </row>
    <row r="102" spans="1:7" s="116" customFormat="1" ht="15" customHeight="1" thickBot="1">
      <c r="A102" s="191" t="s">
        <v>57</v>
      </c>
      <c r="B102" s="194" t="s">
        <v>38</v>
      </c>
      <c r="C102" s="122" t="s">
        <v>10</v>
      </c>
      <c r="D102" s="125" t="s">
        <v>7</v>
      </c>
      <c r="E102" s="109">
        <v>0.5</v>
      </c>
      <c r="F102" s="88">
        <v>190</v>
      </c>
      <c r="G102" s="88">
        <f t="shared" si="1"/>
        <v>95</v>
      </c>
    </row>
    <row r="103" spans="1:7" s="116" customFormat="1" ht="14.4" customHeight="1" thickBot="1">
      <c r="A103" s="192"/>
      <c r="B103" s="195"/>
      <c r="C103" s="79" t="s">
        <v>11</v>
      </c>
      <c r="D103" s="125" t="s">
        <v>7</v>
      </c>
      <c r="E103" s="109">
        <v>0.5</v>
      </c>
      <c r="F103" s="88">
        <v>190</v>
      </c>
      <c r="G103" s="88">
        <f t="shared" si="1"/>
        <v>95</v>
      </c>
    </row>
    <row r="104" spans="1:7" s="116" customFormat="1" ht="30" customHeight="1" thickBot="1">
      <c r="A104" s="192"/>
      <c r="B104" s="195"/>
      <c r="C104" s="80" t="s">
        <v>12</v>
      </c>
      <c r="D104" s="121" t="s">
        <v>6</v>
      </c>
      <c r="E104" s="109">
        <v>1</v>
      </c>
      <c r="F104" s="88">
        <v>190</v>
      </c>
      <c r="G104" s="88">
        <f t="shared" si="1"/>
        <v>190</v>
      </c>
    </row>
    <row r="105" spans="1:7" s="116" customFormat="1" ht="12.6" thickBot="1">
      <c r="A105" s="193"/>
      <c r="B105" s="196"/>
      <c r="C105" s="85" t="s">
        <v>13</v>
      </c>
      <c r="D105" s="121" t="s">
        <v>6</v>
      </c>
      <c r="E105" s="109">
        <v>1</v>
      </c>
      <c r="F105" s="88">
        <v>190</v>
      </c>
      <c r="G105" s="88">
        <f t="shared" si="1"/>
        <v>190</v>
      </c>
    </row>
    <row r="106" spans="1:7" s="116" customFormat="1" ht="12.6" thickBot="1">
      <c r="A106" s="128"/>
      <c r="B106" s="129"/>
      <c r="C106" s="130"/>
      <c r="D106" s="131"/>
    </row>
    <row r="107" spans="1:7" s="116" customFormat="1" ht="14.4" customHeight="1">
      <c r="A107" s="128"/>
      <c r="B107" s="129"/>
      <c r="C107" s="130"/>
      <c r="D107" s="211" t="s">
        <v>64</v>
      </c>
      <c r="E107" s="212"/>
      <c r="F107" s="212"/>
      <c r="G107" s="132">
        <f>SUM(G15:G105)</f>
        <v>14815</v>
      </c>
    </row>
    <row r="108" spans="1:7" s="116" customFormat="1" ht="14.4" customHeight="1">
      <c r="A108" s="128"/>
      <c r="B108" s="129"/>
      <c r="C108" s="130"/>
      <c r="D108" s="213" t="s">
        <v>65</v>
      </c>
      <c r="E108" s="214"/>
      <c r="F108" s="214"/>
      <c r="G108" s="133">
        <f>G107*0.13</f>
        <v>1925.95</v>
      </c>
    </row>
    <row r="109" spans="1:7" s="116" customFormat="1" ht="15" customHeight="1">
      <c r="A109" s="128"/>
      <c r="B109" s="129"/>
      <c r="C109" s="130"/>
      <c r="D109" s="213" t="s">
        <v>66</v>
      </c>
      <c r="E109" s="214"/>
      <c r="F109" s="214"/>
      <c r="G109" s="133">
        <f>SUM(G107:G108)</f>
        <v>16740.95</v>
      </c>
    </row>
    <row r="110" spans="1:7" s="63" customFormat="1" ht="14.4" customHeight="1">
      <c r="A110" s="67"/>
      <c r="B110" s="67"/>
      <c r="D110" s="209" t="s">
        <v>75</v>
      </c>
      <c r="E110" s="210"/>
      <c r="F110" s="210"/>
      <c r="G110" s="150">
        <v>10627.65</v>
      </c>
    </row>
    <row r="111" spans="1:7" s="63" customFormat="1" ht="14.4" customHeight="1" thickBot="1">
      <c r="A111" s="66"/>
      <c r="B111" s="66"/>
      <c r="C111" s="67"/>
      <c r="D111" s="205" t="s">
        <v>76</v>
      </c>
      <c r="E111" s="206"/>
      <c r="F111" s="206"/>
      <c r="G111" s="149">
        <f>+G109-G110</f>
        <v>6113.3000000000011</v>
      </c>
    </row>
    <row r="112" spans="1:7" ht="15" customHeight="1">
      <c r="A112" s="89"/>
      <c r="B112" s="17"/>
      <c r="C112" s="90"/>
      <c r="D112" s="90"/>
      <c r="E112" s="17"/>
      <c r="F112" s="91"/>
      <c r="G112" s="92"/>
    </row>
    <row r="113" spans="1:7" s="63" customFormat="1" ht="12" customHeight="1">
      <c r="A113" s="200" t="s">
        <v>78</v>
      </c>
      <c r="B113" s="200"/>
      <c r="C113" s="200"/>
      <c r="D113" s="200"/>
      <c r="E113" s="200"/>
      <c r="F113" s="200"/>
      <c r="G113" s="200"/>
    </row>
    <row r="114" spans="1:7" s="63" customFormat="1" ht="12" customHeight="1">
      <c r="A114" s="200"/>
      <c r="B114" s="200"/>
      <c r="C114" s="200"/>
      <c r="D114" s="200"/>
      <c r="E114" s="200"/>
      <c r="F114" s="200"/>
      <c r="G114" s="200"/>
    </row>
    <row r="115" spans="1:7" s="63" customFormat="1" ht="12" customHeight="1">
      <c r="A115" s="200"/>
      <c r="B115" s="200"/>
      <c r="C115" s="200"/>
      <c r="D115" s="200"/>
      <c r="E115" s="200"/>
      <c r="F115" s="200"/>
      <c r="G115" s="200"/>
    </row>
    <row r="116" spans="1:7" s="63" customFormat="1" ht="12" customHeight="1">
      <c r="A116" s="201" t="s">
        <v>67</v>
      </c>
      <c r="B116" s="201"/>
      <c r="C116" s="201"/>
      <c r="D116" s="201"/>
      <c r="E116" s="201"/>
      <c r="F116" s="201"/>
      <c r="G116" s="201"/>
    </row>
    <row r="117" spans="1:7" s="63" customFormat="1" ht="15.6" customHeight="1">
      <c r="A117" s="201"/>
      <c r="B117" s="201"/>
      <c r="C117" s="201"/>
      <c r="D117" s="201"/>
      <c r="E117" s="201"/>
      <c r="F117" s="201"/>
      <c r="G117" s="201"/>
    </row>
    <row r="118" spans="1:7" s="63" customFormat="1" ht="13.8" customHeight="1">
      <c r="A118" s="201"/>
      <c r="B118" s="201"/>
      <c r="C118" s="201"/>
      <c r="D118" s="201"/>
      <c r="E118" s="201"/>
      <c r="F118" s="201"/>
      <c r="G118" s="201"/>
    </row>
    <row r="119" spans="1:7" s="63" customFormat="1" ht="13.8">
      <c r="A119" s="93"/>
      <c r="B119" s="59"/>
      <c r="C119" s="61"/>
      <c r="D119" s="61"/>
      <c r="E119" s="61"/>
    </row>
    <row r="120" spans="1:7" s="63" customFormat="1" ht="13.8" customHeight="1">
      <c r="A120" s="94" t="s">
        <v>68</v>
      </c>
      <c r="C120" s="95" t="s">
        <v>69</v>
      </c>
      <c r="D120" s="61"/>
      <c r="E120" s="61"/>
    </row>
    <row r="121" spans="1:7" s="63" customFormat="1" ht="13.8" customHeight="1">
      <c r="A121" s="93"/>
      <c r="C121" s="95" t="s">
        <v>70</v>
      </c>
      <c r="D121" s="61"/>
      <c r="E121" s="61"/>
    </row>
    <row r="122" spans="1:7" s="63" customFormat="1" ht="13.8" customHeight="1">
      <c r="A122" s="93"/>
      <c r="C122" s="95" t="s">
        <v>71</v>
      </c>
      <c r="D122" s="61"/>
      <c r="E122" s="61"/>
    </row>
    <row r="123" spans="1:7" s="63" customFormat="1" ht="13.8" customHeight="1">
      <c r="A123" s="93"/>
      <c r="C123" s="95" t="s">
        <v>72</v>
      </c>
      <c r="D123" s="61"/>
      <c r="E123" s="61"/>
    </row>
    <row r="124" spans="1:7" s="63" customFormat="1" ht="13.8" customHeight="1">
      <c r="A124" s="93"/>
      <c r="C124" s="95" t="s">
        <v>73</v>
      </c>
      <c r="D124" s="61"/>
      <c r="E124" s="61"/>
    </row>
    <row r="125" spans="1:7" s="63" customFormat="1" ht="13.8">
      <c r="A125" s="93"/>
      <c r="B125" s="59"/>
      <c r="C125" s="61"/>
      <c r="D125" s="61"/>
      <c r="E125" s="61"/>
    </row>
    <row r="126" spans="1:7" s="63" customFormat="1" ht="17.399999999999999">
      <c r="A126" s="93"/>
      <c r="C126" s="96" t="s">
        <v>74</v>
      </c>
      <c r="D126" s="61"/>
      <c r="E126" s="61"/>
    </row>
    <row r="127" spans="1:7" ht="17.399999999999999" customHeight="1">
      <c r="A127" s="89"/>
      <c r="B127" s="91"/>
      <c r="C127" s="90"/>
      <c r="D127" s="90"/>
      <c r="E127" s="17"/>
      <c r="F127" s="17"/>
      <c r="G127" s="92"/>
    </row>
    <row r="128" spans="1:7" ht="15" customHeight="1">
      <c r="A128" s="89"/>
      <c r="B128" s="91"/>
      <c r="C128" s="90"/>
      <c r="D128" s="90"/>
      <c r="E128" s="17"/>
      <c r="F128" s="17"/>
      <c r="G128" s="92"/>
    </row>
    <row r="129" spans="1:7" ht="17.399999999999999">
      <c r="A129" s="97"/>
      <c r="B129" s="98"/>
      <c r="C129" s="99"/>
      <c r="D129" s="99"/>
      <c r="G129" s="92"/>
    </row>
  </sheetData>
  <mergeCells count="52">
    <mergeCell ref="D111:F111"/>
    <mergeCell ref="C4:C5"/>
    <mergeCell ref="A9:E10"/>
    <mergeCell ref="A12:G12"/>
    <mergeCell ref="D110:F110"/>
    <mergeCell ref="D107:F107"/>
    <mergeCell ref="D108:F108"/>
    <mergeCell ref="D109:F109"/>
    <mergeCell ref="A24:A27"/>
    <mergeCell ref="B24:B27"/>
    <mergeCell ref="A28:A31"/>
    <mergeCell ref="B28:B31"/>
    <mergeCell ref="A32:A35"/>
    <mergeCell ref="B32:B35"/>
    <mergeCell ref="A57:A60"/>
    <mergeCell ref="B57:B60"/>
    <mergeCell ref="A113:G115"/>
    <mergeCell ref="A116:G118"/>
    <mergeCell ref="A15:A19"/>
    <mergeCell ref="B15:B19"/>
    <mergeCell ref="A20:A23"/>
    <mergeCell ref="B20:B23"/>
    <mergeCell ref="A49:A52"/>
    <mergeCell ref="B49:B52"/>
    <mergeCell ref="A53:A56"/>
    <mergeCell ref="B53:B56"/>
    <mergeCell ref="A36:A39"/>
    <mergeCell ref="B36:B39"/>
    <mergeCell ref="A40:A43"/>
    <mergeCell ref="B40:B43"/>
    <mergeCell ref="A45:A48"/>
    <mergeCell ref="B45:B48"/>
    <mergeCell ref="A61:A64"/>
    <mergeCell ref="B61:B64"/>
    <mergeCell ref="A65:A68"/>
    <mergeCell ref="B65:B68"/>
    <mergeCell ref="A69:A72"/>
    <mergeCell ref="B69:B72"/>
    <mergeCell ref="A73:A76"/>
    <mergeCell ref="B73:B76"/>
    <mergeCell ref="A77:A80"/>
    <mergeCell ref="B77:B80"/>
    <mergeCell ref="A98:A101"/>
    <mergeCell ref="B98:B101"/>
    <mergeCell ref="A102:A105"/>
    <mergeCell ref="B102:B105"/>
    <mergeCell ref="A86:A89"/>
    <mergeCell ref="B86:B89"/>
    <mergeCell ref="A90:A93"/>
    <mergeCell ref="B90:B93"/>
    <mergeCell ref="A94:A97"/>
    <mergeCell ref="B94:B97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&amp;C&amp;"Times New Roman,Normal"&amp;14&amp;USIGMA CONTROLE</oddHeader>
    <oddFooter xml:space="preserve">&amp;C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5</vt:i4>
      </vt:variant>
    </vt:vector>
  </HeadingPairs>
  <TitlesOfParts>
    <vt:vector size="9" baseType="lpstr">
      <vt:lpstr>1ere TRANCHE</vt:lpstr>
      <vt:lpstr>2eme TRANCHE</vt:lpstr>
      <vt:lpstr>1 et 2 TRANCHE.</vt:lpstr>
      <vt:lpstr>facture (2)</vt:lpstr>
      <vt:lpstr>'1 et 2 TRANCHE.'!Impression_des_titres</vt:lpstr>
      <vt:lpstr>'1ere TRANCHE'!Impression_des_titres</vt:lpstr>
      <vt:lpstr>'2eme TRANCHE'!Impression_des_titres</vt:lpstr>
      <vt:lpstr>'facture (2)'!Impression_des_titres</vt:lpstr>
      <vt:lpstr>'facture (2)'!Zone_d_impression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</dc:creator>
  <cp:lastModifiedBy>info</cp:lastModifiedBy>
  <cp:lastPrinted>2022-11-03T15:12:28Z</cp:lastPrinted>
  <dcterms:created xsi:type="dcterms:W3CDTF">2021-10-21T13:41:49Z</dcterms:created>
  <dcterms:modified xsi:type="dcterms:W3CDTF">2022-11-03T15:21:18Z</dcterms:modified>
</cp:coreProperties>
</file>