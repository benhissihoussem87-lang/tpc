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135" windowWidth="14625" windowHeight="7950" activeTab="1"/>
  </bookViews>
  <sheets>
    <sheet name="FACTURE" sheetId="1" r:id="rId1"/>
    <sheet name="MODEL COM" sheetId="2" r:id="rId2"/>
    <sheet name="Feuil2" sheetId="3" r:id="rId3"/>
  </sheets>
  <definedNames>
    <definedName name="_xlnm.Print_Titles" localSheetId="0">FACTURE!$16:$16</definedName>
    <definedName name="_xlnm.Print_Titles" localSheetId="1">'MODEL COM'!#REF!</definedName>
    <definedName name="_xlnm.Print_Area" localSheetId="1">'MODEL COM'!$A$1:$E$83</definedName>
  </definedNames>
  <calcPr calcId="125725"/>
</workbook>
</file>

<file path=xl/calcChain.xml><?xml version="1.0" encoding="utf-8"?>
<calcChain xmlns="http://schemas.openxmlformats.org/spreadsheetml/2006/main">
  <c r="E26" i="2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5"/>
  <c r="E24"/>
  <c r="E23"/>
  <c r="E22"/>
  <c r="E21"/>
  <c r="E20"/>
  <c r="E19"/>
  <c r="E18"/>
  <c r="E17"/>
  <c r="E16"/>
  <c r="E88" i="3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89" s="1"/>
  <c r="E62" i="1"/>
  <c r="E61"/>
  <c r="E60"/>
  <c r="E59"/>
  <c r="E56"/>
  <c r="E55"/>
  <c r="E54"/>
  <c r="E53"/>
  <c r="E68" i="2" l="1"/>
  <c r="E69" s="1"/>
  <c r="E90" i="3"/>
  <c r="E91" s="1"/>
  <c r="E93" s="1"/>
  <c r="E32" i="1"/>
  <c r="E31"/>
  <c r="E30"/>
  <c r="E29"/>
  <c r="E74" l="1"/>
  <c r="E72"/>
  <c r="E70"/>
  <c r="E68"/>
  <c r="E66"/>
  <c r="E64"/>
  <c r="E52"/>
  <c r="E50"/>
  <c r="E48"/>
  <c r="E47"/>
  <c r="E46"/>
  <c r="E44"/>
  <c r="E42"/>
  <c r="E40"/>
  <c r="E38"/>
  <c r="E36"/>
  <c r="E35"/>
  <c r="E34"/>
  <c r="E33"/>
  <c r="E28"/>
  <c r="E26"/>
  <c r="E24"/>
  <c r="E23"/>
  <c r="E20"/>
  <c r="E18"/>
  <c r="E17"/>
  <c r="D75" l="1"/>
  <c r="D76" s="1"/>
  <c r="D77" s="1"/>
</calcChain>
</file>

<file path=xl/sharedStrings.xml><?xml version="1.0" encoding="utf-8"?>
<sst xmlns="http://schemas.openxmlformats.org/spreadsheetml/2006/main" count="278" uniqueCount="85">
  <si>
    <t>Affaire :</t>
  </si>
  <si>
    <t>Messieurs,</t>
  </si>
  <si>
    <t>Dans le cadre de notre convention nous avons l’honneur de vous adresser la présente facture pour paiement à la réception, sauf objection de votre part.</t>
  </si>
  <si>
    <t xml:space="preserve">Complexe </t>
  </si>
  <si>
    <t>Attestation demandée</t>
  </si>
  <si>
    <t>Qté</t>
  </si>
  <si>
    <t>P.U.H.T</t>
  </si>
  <si>
    <t>P.T.H.T</t>
  </si>
  <si>
    <t>Attestation de conformité du local chaufferie</t>
  </si>
  <si>
    <t>Salle el Gorjeni et terrains de plein air</t>
  </si>
  <si>
    <t xml:space="preserve">Attestation de conformité de conformité de l'instatalation électrique </t>
  </si>
  <si>
    <t xml:space="preserve">Attestation de conformité du local chaufferie </t>
  </si>
  <si>
    <t xml:space="preserve">Attestation de conformité de l'instalation de gaz </t>
  </si>
  <si>
    <t xml:space="preserve">Parc B </t>
  </si>
  <si>
    <t>Taieb Ben Ammar Omran1</t>
  </si>
  <si>
    <t>Omran3 Bahri ben said</t>
  </si>
  <si>
    <t>Terrain ettahrir</t>
  </si>
  <si>
    <t>Total</t>
  </si>
  <si>
    <t>TVA (13%)</t>
  </si>
  <si>
    <t>Total TTC</t>
  </si>
  <si>
    <t>Demeurant à votre  entière disposition pour tous  renseignements complémentaires,  nous vous prions de croire, Messieurs, l’expression de notre parfaite considération.</t>
  </si>
  <si>
    <r>
      <t>Pièce jointe</t>
    </r>
    <r>
      <rPr>
        <sz val="10"/>
        <color theme="1"/>
        <rFont val="Times New Roman"/>
        <family val="1"/>
      </rPr>
      <t> :</t>
    </r>
  </si>
  <si>
    <t>* 05 copie de la facture</t>
  </si>
  <si>
    <t xml:space="preserve">* Copie du bon de commande </t>
  </si>
  <si>
    <t>* Attestations de conformité</t>
  </si>
  <si>
    <t>* Rapports des visites</t>
  </si>
  <si>
    <t>SIGMA CONTROLE</t>
  </si>
  <si>
    <t>FACTURE 27/2020</t>
  </si>
  <si>
    <t>Tunis, le 25/09/2020</t>
  </si>
  <si>
    <t>Parc A</t>
  </si>
  <si>
    <t>Terrain El Omran supérieur</t>
  </si>
  <si>
    <t>Terrain El Hrairia</t>
  </si>
  <si>
    <r>
      <t>Arrêter</t>
    </r>
    <r>
      <rPr>
        <sz val="11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la présente facture à la somme de : </t>
    </r>
    <r>
      <rPr>
        <b/>
        <sz val="12"/>
        <color theme="1"/>
        <rFont val="Times New Roman"/>
        <family val="1"/>
      </rPr>
      <t>Six mille sept cent quatre vingt dinars, 000 Millimes</t>
    </r>
    <r>
      <rPr>
        <sz val="12"/>
        <color theme="1"/>
        <rFont val="Times New Roman"/>
        <family val="1"/>
      </rPr>
      <t>.</t>
    </r>
  </si>
  <si>
    <t xml:space="preserve">Attestation de conformité de l'installation de gaz </t>
  </si>
  <si>
    <t>* Identité bancaire</t>
  </si>
  <si>
    <t>Obtention des attestations des conformité des complexes sportives de municipalité de Tunis</t>
  </si>
  <si>
    <t xml:space="preserve">Attestation de conformité de l'installation électrique </t>
  </si>
  <si>
    <t>Attestation de conformité de l'installation Gaz</t>
  </si>
  <si>
    <t>Attestation de conformité de l'installation de détection et de lute contre les incendies</t>
  </si>
  <si>
    <t>Terrain el Ouardia</t>
  </si>
  <si>
    <t>Salle Bougatfa El Ouardia</t>
  </si>
  <si>
    <t>Attestation de conformité de l'installation de gaz</t>
  </si>
  <si>
    <t>Omran2 Belvédère</t>
  </si>
  <si>
    <t>Terrain Ezzouhour</t>
  </si>
  <si>
    <t>Terrain Ettayarane 1</t>
  </si>
  <si>
    <t>Salle couverte Ettayarane</t>
  </si>
  <si>
    <t>Complexe sportif</t>
  </si>
  <si>
    <r>
      <t xml:space="preserve">Prestations du Bureau de contrôle </t>
    </r>
    <r>
      <rPr>
        <b/>
        <i/>
        <sz val="20"/>
        <color indexed="8"/>
        <rFont val="Times New Roman"/>
        <family val="1"/>
      </rPr>
      <t>*</t>
    </r>
  </si>
  <si>
    <t>Prix Unitaire H.TVA</t>
  </si>
  <si>
    <t>Prix Total H.TVA</t>
  </si>
  <si>
    <t xml:space="preserve">Stade Chedly Zouiten </t>
  </si>
  <si>
    <t>Attestation de conformité de l’installation électrique</t>
  </si>
  <si>
    <t>Attestation de conformité de l’installation Gaz</t>
  </si>
  <si>
    <t>Attestation de conformité de l’installation de détection et de lutte contre les incendies</t>
  </si>
  <si>
    <t>Attestation de solidité de la structure</t>
  </si>
  <si>
    <t>Salle El Gorjani et terrains de plein air</t>
  </si>
  <si>
    <t xml:space="preserve">Attestation de conformité de l’installation Gaz </t>
  </si>
  <si>
    <t>Terrain El Ouardia</t>
  </si>
  <si>
    <t>Salle Bougatfa sise à El Ouardia</t>
  </si>
  <si>
    <t>Terrain Ali Belahaouene Mellassine</t>
  </si>
  <si>
    <t>Terrains Kermesse Montfleury</t>
  </si>
  <si>
    <t>Parc  A</t>
  </si>
  <si>
    <t>Parc B</t>
  </si>
  <si>
    <t>Terrains Association féminine</t>
  </si>
  <si>
    <t>Complexe sportif El Omrane 1   -     Taieb Ben Ammar</t>
  </si>
  <si>
    <t>Complexe sportif El Omrane 2 au belvédère</t>
  </si>
  <si>
    <t xml:space="preserve">Complexe sportif El Omrane 3 - Bahri Ben Said </t>
  </si>
  <si>
    <t>Terrains El Hilal Sport</t>
  </si>
  <si>
    <t>Terrain Moncef Belkhir à Jebel Jeloud</t>
  </si>
  <si>
    <t>Terrain Ettahrir</t>
  </si>
  <si>
    <t>Terrain El Hraïria</t>
  </si>
  <si>
    <t xml:space="preserve">Salle couverte Ettayarane </t>
  </si>
  <si>
    <t>Total Général H.TVA :</t>
  </si>
  <si>
    <t>Montnat de la TVA  13%</t>
  </si>
  <si>
    <t>Total Général  TTC :</t>
  </si>
  <si>
    <t>Montant de la facture n°1 ordonnancé</t>
  </si>
  <si>
    <t>Montant de la facture n°2 à délivré</t>
  </si>
  <si>
    <r>
      <rPr>
        <b/>
        <sz val="11"/>
        <color indexed="8"/>
        <rFont val="Calibri"/>
        <family val="2"/>
      </rPr>
      <t xml:space="preserve">N B :  </t>
    </r>
    <r>
      <rPr>
        <b/>
        <sz val="14"/>
        <color indexed="8"/>
        <rFont val="Calibri"/>
        <family val="2"/>
      </rPr>
      <t>*</t>
    </r>
  </si>
  <si>
    <t>Quantité= 1 (Délivrance de l'attestation de conformité)</t>
  </si>
  <si>
    <t>Quantité= 0,50 (Réserves empêches la délivrance de l'attestation de conformité)</t>
  </si>
  <si>
    <t>FACTURE 49/2021</t>
  </si>
  <si>
    <r>
      <t>Arrêter</t>
    </r>
    <r>
      <rPr>
        <sz val="11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la présente facture à la somme de : </t>
    </r>
    <r>
      <rPr>
        <b/>
        <sz val="12"/>
        <color theme="1"/>
        <rFont val="Times New Roman"/>
        <family val="1"/>
      </rPr>
      <t>Dix mille six cent vingt-sept dinars 650 Millimes, dont la TVA de 13 %, est de (1222,650 dt) Sept cent quatre vingt dinars.</t>
    </r>
  </si>
  <si>
    <t>10627,65</t>
  </si>
  <si>
    <t>Tunis, le 23/11/2021</t>
  </si>
  <si>
    <t>* Bon de commande originale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</si>
</sst>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0.000"/>
    <numFmt numFmtId="166" formatCode="0.0"/>
  </numFmts>
  <fonts count="2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i/>
      <sz val="10"/>
      <name val="Times New Roman"/>
      <family val="1"/>
    </font>
    <font>
      <b/>
      <i/>
      <sz val="20"/>
      <color indexed="8"/>
      <name val="Times New Roman"/>
      <family val="1"/>
    </font>
    <font>
      <b/>
      <sz val="11"/>
      <name val="Times New Roman"/>
      <family val="1"/>
      <charset val="178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indexed="64"/>
      </bottom>
      <diagonal/>
    </border>
    <border>
      <left/>
      <right style="medium">
        <color indexed="64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1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7" fillId="0" borderId="0" xfId="0" applyFont="1"/>
    <xf numFmtId="0" fontId="8" fillId="0" borderId="8" xfId="0" applyFont="1" applyBorder="1"/>
    <xf numFmtId="0" fontId="8" fillId="0" borderId="8" xfId="0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8" fillId="0" borderId="12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5" xfId="0" applyFont="1" applyBorder="1" applyAlignment="1">
      <alignment horizontal="center"/>
    </xf>
    <xf numFmtId="164" fontId="8" fillId="0" borderId="15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0" fontId="8" fillId="0" borderId="18" xfId="0" applyFont="1" applyBorder="1"/>
    <xf numFmtId="0" fontId="8" fillId="0" borderId="4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19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23" xfId="0" applyFont="1" applyBorder="1"/>
    <xf numFmtId="0" fontId="8" fillId="0" borderId="12" xfId="0" applyFont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0" fontId="1" fillId="0" borderId="0" xfId="0" applyFont="1" applyBorder="1"/>
    <xf numFmtId="0" fontId="13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164" fontId="8" fillId="0" borderId="27" xfId="0" applyNumberFormat="1" applyFont="1" applyBorder="1" applyAlignment="1">
      <alignment horizontal="center"/>
    </xf>
    <xf numFmtId="164" fontId="8" fillId="0" borderId="28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justify"/>
    </xf>
    <xf numFmtId="0" fontId="4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8" fillId="2" borderId="0" xfId="0" applyFont="1" applyFill="1" applyBorder="1" applyAlignment="1">
      <alignment horizontal="center"/>
    </xf>
    <xf numFmtId="164" fontId="8" fillId="2" borderId="0" xfId="0" applyNumberFormat="1" applyFont="1" applyFill="1" applyBorder="1" applyAlignment="1">
      <alignment horizontal="center"/>
    </xf>
    <xf numFmtId="165" fontId="0" fillId="0" borderId="0" xfId="0" applyNumberFormat="1"/>
    <xf numFmtId="0" fontId="15" fillId="4" borderId="29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165" fontId="6" fillId="5" borderId="30" xfId="0" applyNumberFormat="1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justify" vertical="top" wrapText="1"/>
    </xf>
    <xf numFmtId="1" fontId="12" fillId="0" borderId="33" xfId="0" applyNumberFormat="1" applyFont="1" applyFill="1" applyBorder="1" applyAlignment="1">
      <alignment horizontal="center" vertical="center" wrapText="1"/>
    </xf>
    <xf numFmtId="165" fontId="12" fillId="0" borderId="33" xfId="0" applyNumberFormat="1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justify" vertical="top" wrapText="1"/>
    </xf>
    <xf numFmtId="1" fontId="12" fillId="0" borderId="35" xfId="0" applyNumberFormat="1" applyFont="1" applyFill="1" applyBorder="1" applyAlignment="1">
      <alignment horizontal="center" vertical="center" wrapText="1"/>
    </xf>
    <xf numFmtId="165" fontId="12" fillId="0" borderId="35" xfId="0" applyNumberFormat="1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justify" vertical="top" wrapText="1"/>
    </xf>
    <xf numFmtId="1" fontId="12" fillId="0" borderId="37" xfId="0" applyNumberFormat="1" applyFont="1" applyFill="1" applyBorder="1" applyAlignment="1">
      <alignment horizontal="center" vertical="center" wrapText="1"/>
    </xf>
    <xf numFmtId="165" fontId="12" fillId="0" borderId="37" xfId="0" applyNumberFormat="1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justify" vertical="top" wrapText="1"/>
    </xf>
    <xf numFmtId="165" fontId="12" fillId="0" borderId="33" xfId="0" applyNumberFormat="1" applyFont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justify" vertical="top" wrapText="1"/>
    </xf>
    <xf numFmtId="165" fontId="12" fillId="0" borderId="35" xfId="0" applyNumberFormat="1" applyFont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justify" vertical="top" wrapText="1"/>
    </xf>
    <xf numFmtId="165" fontId="12" fillId="0" borderId="37" xfId="0" applyNumberFormat="1" applyFont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justify" vertical="center" wrapText="1"/>
    </xf>
    <xf numFmtId="2" fontId="12" fillId="0" borderId="33" xfId="0" applyNumberFormat="1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justify" vertical="center" wrapText="1"/>
    </xf>
    <xf numFmtId="0" fontId="4" fillId="0" borderId="37" xfId="0" applyFont="1" applyFill="1" applyBorder="1" applyAlignment="1">
      <alignment horizontal="justify" vertical="center" wrapText="1"/>
    </xf>
    <xf numFmtId="0" fontId="4" fillId="0" borderId="38" xfId="0" applyFont="1" applyFill="1" applyBorder="1" applyAlignment="1">
      <alignment horizontal="justify" vertical="top" wrapText="1"/>
    </xf>
    <xf numFmtId="0" fontId="4" fillId="0" borderId="39" xfId="0" applyFont="1" applyBorder="1" applyAlignment="1">
      <alignment horizontal="justify" vertical="top" wrapText="1"/>
    </xf>
    <xf numFmtId="0" fontId="4" fillId="0" borderId="40" xfId="0" applyFont="1" applyBorder="1" applyAlignment="1">
      <alignment horizontal="justify" vertical="top" wrapText="1"/>
    </xf>
    <xf numFmtId="0" fontId="4" fillId="0" borderId="41" xfId="0" applyFont="1" applyBorder="1" applyAlignment="1">
      <alignment horizontal="justify" vertical="top" wrapText="1"/>
    </xf>
    <xf numFmtId="0" fontId="0" fillId="0" borderId="42" xfId="0" applyBorder="1"/>
    <xf numFmtId="165" fontId="17" fillId="0" borderId="43" xfId="0" applyNumberFormat="1" applyFont="1" applyFill="1" applyBorder="1" applyAlignment="1">
      <alignment horizontal="right"/>
    </xf>
    <xf numFmtId="0" fontId="18" fillId="0" borderId="43" xfId="0" applyFont="1" applyBorder="1"/>
    <xf numFmtId="165" fontId="13" fillId="0" borderId="44" xfId="0" applyNumberFormat="1" applyFont="1" applyBorder="1"/>
    <xf numFmtId="0" fontId="0" fillId="0" borderId="45" xfId="0" applyBorder="1"/>
    <xf numFmtId="165" fontId="17" fillId="0" borderId="46" xfId="0" applyNumberFormat="1" applyFont="1" applyFill="1" applyBorder="1" applyAlignment="1">
      <alignment horizontal="right"/>
    </xf>
    <xf numFmtId="0" fontId="18" fillId="0" borderId="46" xfId="0" applyFont="1" applyBorder="1"/>
    <xf numFmtId="165" fontId="13" fillId="0" borderId="47" xfId="0" applyNumberFormat="1" applyFont="1" applyBorder="1"/>
    <xf numFmtId="0" fontId="0" fillId="0" borderId="46" xfId="0" applyBorder="1"/>
    <xf numFmtId="0" fontId="0" fillId="0" borderId="48" xfId="0" applyBorder="1"/>
    <xf numFmtId="165" fontId="17" fillId="0" borderId="49" xfId="0" applyNumberFormat="1" applyFont="1" applyFill="1" applyBorder="1" applyAlignment="1">
      <alignment horizontal="right"/>
    </xf>
    <xf numFmtId="0" fontId="0" fillId="0" borderId="49" xfId="0" applyBorder="1"/>
    <xf numFmtId="165" fontId="13" fillId="0" borderId="50" xfId="0" applyNumberFormat="1" applyFont="1" applyBorder="1"/>
    <xf numFmtId="0" fontId="14" fillId="0" borderId="0" xfId="0" applyFont="1"/>
    <xf numFmtId="165" fontId="17" fillId="0" borderId="0" xfId="0" applyNumberFormat="1" applyFont="1" applyFill="1" applyBorder="1" applyAlignment="1">
      <alignment horizontal="left"/>
    </xf>
    <xf numFmtId="166" fontId="12" fillId="0" borderId="33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12" fillId="0" borderId="35" xfId="0" applyNumberFormat="1" applyFont="1" applyFill="1" applyBorder="1" applyAlignment="1">
      <alignment horizontal="center" vertical="center" wrapText="1"/>
    </xf>
    <xf numFmtId="0" fontId="12" fillId="0" borderId="33" xfId="0" applyNumberFormat="1" applyFont="1" applyFill="1" applyBorder="1" applyAlignment="1">
      <alignment horizontal="center" vertical="center" wrapText="1"/>
    </xf>
    <xf numFmtId="49" fontId="13" fillId="0" borderId="47" xfId="0" applyNumberFormat="1" applyFont="1" applyBorder="1"/>
    <xf numFmtId="0" fontId="10" fillId="0" borderId="0" xfId="0" applyFont="1" applyAlignment="1">
      <alignment horizontal="left" vertical="top" wrapText="1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9" fillId="3" borderId="20" xfId="0" applyFont="1" applyFill="1" applyBorder="1" applyAlignment="1">
      <alignment horizontal="center" vertical="top" wrapText="1"/>
    </xf>
    <xf numFmtId="0" fontId="9" fillId="3" borderId="13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15" fillId="0" borderId="32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 wrapText="1"/>
    </xf>
    <xf numFmtId="0" fontId="15" fillId="0" borderId="33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0" fontId="15" fillId="0" borderId="3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1</xdr:row>
      <xdr:rowOff>45720</xdr:rowOff>
    </xdr:from>
    <xdr:to>
      <xdr:col>1</xdr:col>
      <xdr:colOff>3368040</xdr:colOff>
      <xdr:row>5</xdr:row>
      <xdr:rowOff>121920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1691640" y="220980"/>
          <a:ext cx="2491740" cy="777240"/>
        </a:xfrm>
        <a:prstGeom prst="rect">
          <a:avLst/>
        </a:prstGeom>
        <a:solidFill>
          <a:srgbClr val="FFFFFF">
            <a:alpha val="0"/>
          </a:srgb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REPUBLIQUE TUNISIENNE MUNICIPALITE DE TUNIS</a:t>
          </a:r>
        </a:p>
        <a:p>
          <a:pPr algn="ctr" rtl="0">
            <a:defRPr sz="1000"/>
          </a:pPr>
          <a:r>
            <a:rPr lang="fr-FR" sz="12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DIRECTION DE L'URBANISME</a:t>
          </a:r>
        </a:p>
        <a:p>
          <a:pPr algn="l" rtl="0">
            <a:defRPr sz="1000"/>
          </a:pPr>
          <a:endParaRPr lang="fr-FR" sz="1200" b="1" i="0" u="none" strike="noStrike" baseline="0">
            <a:solidFill>
              <a:srgbClr val="333333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1</xdr:row>
      <xdr:rowOff>45720</xdr:rowOff>
    </xdr:from>
    <xdr:to>
      <xdr:col>1</xdr:col>
      <xdr:colOff>3368040</xdr:colOff>
      <xdr:row>5</xdr:row>
      <xdr:rowOff>121920</xdr:rowOff>
    </xdr:to>
    <xdr:sp macro="" textlink="">
      <xdr:nvSpPr>
        <xdr:cNvPr id="2" name="Rectangle 2"/>
        <xdr:cNvSpPr>
          <a:spLocks noChangeArrowheads="1"/>
        </xdr:cNvSpPr>
      </xdr:nvSpPr>
      <xdr:spPr bwMode="auto">
        <a:xfrm>
          <a:off x="1691640" y="220980"/>
          <a:ext cx="2491740" cy="777240"/>
        </a:xfrm>
        <a:prstGeom prst="rect">
          <a:avLst/>
        </a:prstGeom>
        <a:solidFill>
          <a:srgbClr val="FFFFFF">
            <a:alpha val="0"/>
          </a:srgbClr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REPUBLIQUE TUNISIENNE MUNICIPALITE DE TUNIS</a:t>
          </a:r>
        </a:p>
        <a:p>
          <a:pPr algn="ctr" rtl="0">
            <a:defRPr sz="1000"/>
          </a:pPr>
          <a:r>
            <a:rPr lang="fr-FR" sz="12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DIRECTION DE L'URBANISME</a:t>
          </a:r>
        </a:p>
        <a:p>
          <a:pPr algn="l" rtl="0">
            <a:defRPr sz="1000"/>
          </a:pPr>
          <a:endParaRPr lang="fr-FR" sz="1200" b="1" i="0" u="none" strike="noStrike" baseline="0">
            <a:solidFill>
              <a:srgbClr val="333333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opLeftCell="A63" zoomScaleNormal="100" workbookViewId="0">
      <selection activeCell="B94" sqref="B94"/>
    </sheetView>
  </sheetViews>
  <sheetFormatPr baseColWidth="10" defaultColWidth="11.5703125" defaultRowHeight="12.75"/>
  <cols>
    <col min="1" max="1" width="11.85546875" style="45" customWidth="1"/>
    <col min="2" max="2" width="55" style="2" customWidth="1"/>
    <col min="3" max="3" width="4.5703125" style="1" customWidth="1"/>
    <col min="4" max="5" width="6.85546875" style="1" customWidth="1"/>
    <col min="6" max="16384" width="11.5703125" style="2"/>
  </cols>
  <sheetData>
    <row r="1" spans="1:5">
      <c r="C1" s="3" t="s">
        <v>28</v>
      </c>
      <c r="E1" s="2"/>
    </row>
    <row r="7" spans="1:5">
      <c r="A7" s="46" t="s">
        <v>0</v>
      </c>
      <c r="B7" s="114" t="s">
        <v>35</v>
      </c>
    </row>
    <row r="8" spans="1:5">
      <c r="B8" s="114"/>
    </row>
    <row r="10" spans="1:5" ht="15.75">
      <c r="B10" s="4" t="s">
        <v>27</v>
      </c>
    </row>
    <row r="11" spans="1:5" ht="15.75">
      <c r="B11" s="4"/>
    </row>
    <row r="12" spans="1:5">
      <c r="A12" s="47" t="s">
        <v>1</v>
      </c>
    </row>
    <row r="13" spans="1:5" ht="13.9" customHeight="1">
      <c r="A13" s="115" t="s">
        <v>2</v>
      </c>
      <c r="B13" s="115"/>
      <c r="C13" s="115"/>
      <c r="D13" s="115"/>
      <c r="E13" s="115"/>
    </row>
    <row r="14" spans="1:5" ht="14.45" customHeight="1">
      <c r="A14" s="115"/>
      <c r="B14" s="115"/>
      <c r="C14" s="115"/>
      <c r="D14" s="115"/>
      <c r="E14" s="115"/>
    </row>
    <row r="15" spans="1:5" ht="14.45" customHeight="1" thickBot="1">
      <c r="A15" s="48"/>
      <c r="B15" s="5"/>
      <c r="C15" s="5"/>
      <c r="D15" s="5"/>
      <c r="E15" s="5"/>
    </row>
    <row r="16" spans="1:5" s="8" customFormat="1" ht="19.899999999999999" customHeight="1" thickBot="1">
      <c r="A16" s="49" t="s">
        <v>3</v>
      </c>
      <c r="B16" s="6" t="s">
        <v>4</v>
      </c>
      <c r="C16" s="6" t="s">
        <v>5</v>
      </c>
      <c r="D16" s="7" t="s">
        <v>6</v>
      </c>
      <c r="E16" s="7" t="s">
        <v>7</v>
      </c>
    </row>
    <row r="17" spans="1:5" s="13" customFormat="1" ht="10.9" customHeight="1">
      <c r="A17" s="110" t="s">
        <v>9</v>
      </c>
      <c r="B17" s="9" t="s">
        <v>36</v>
      </c>
      <c r="C17" s="10">
        <v>0.5</v>
      </c>
      <c r="D17" s="11">
        <v>250</v>
      </c>
      <c r="E17" s="12">
        <f t="shared" ref="E17:E68" si="0">D17*C17</f>
        <v>125</v>
      </c>
    </row>
    <row r="18" spans="1:5" s="13" customFormat="1" ht="10.9" customHeight="1">
      <c r="A18" s="111"/>
      <c r="B18" s="14" t="s">
        <v>37</v>
      </c>
      <c r="C18" s="15">
        <v>0.5</v>
      </c>
      <c r="D18" s="16">
        <v>250</v>
      </c>
      <c r="E18" s="17">
        <f t="shared" si="0"/>
        <v>125</v>
      </c>
    </row>
    <row r="19" spans="1:5" s="13" customFormat="1" ht="13.15" customHeight="1">
      <c r="A19" s="111"/>
      <c r="B19" s="14"/>
      <c r="C19" s="15"/>
      <c r="D19" s="16"/>
      <c r="E19" s="17"/>
    </row>
    <row r="20" spans="1:5" s="13" customFormat="1" ht="10.9" customHeight="1" thickBot="1">
      <c r="A20" s="41">
        <v>10</v>
      </c>
      <c r="B20" s="18" t="s">
        <v>8</v>
      </c>
      <c r="C20" s="15">
        <v>0.5</v>
      </c>
      <c r="D20" s="16">
        <v>250</v>
      </c>
      <c r="E20" s="17">
        <f t="shared" si="0"/>
        <v>125</v>
      </c>
    </row>
    <row r="21" spans="1:5" s="13" customFormat="1" ht="10.9" customHeight="1">
      <c r="A21" s="113" t="s">
        <v>39</v>
      </c>
      <c r="B21" s="9"/>
      <c r="C21" s="10"/>
      <c r="D21" s="11"/>
      <c r="E21" s="12"/>
    </row>
    <row r="22" spans="1:5" s="13" customFormat="1" ht="10.9" customHeight="1">
      <c r="A22" s="109"/>
      <c r="B22" s="14"/>
      <c r="C22" s="15"/>
      <c r="D22" s="16"/>
      <c r="E22" s="17"/>
    </row>
    <row r="23" spans="1:5" s="13" customFormat="1" ht="10.9" customHeight="1">
      <c r="A23" s="37">
        <v>11</v>
      </c>
      <c r="B23" s="14" t="s">
        <v>38</v>
      </c>
      <c r="C23" s="15">
        <v>0.5</v>
      </c>
      <c r="D23" s="16">
        <v>250</v>
      </c>
      <c r="E23" s="17">
        <f t="shared" si="0"/>
        <v>125</v>
      </c>
    </row>
    <row r="24" spans="1:5" s="13" customFormat="1" ht="10.9" customHeight="1" thickBot="1">
      <c r="A24" s="41"/>
      <c r="B24" s="18" t="s">
        <v>11</v>
      </c>
      <c r="C24" s="15">
        <v>0.5</v>
      </c>
      <c r="D24" s="16">
        <v>250</v>
      </c>
      <c r="E24" s="17">
        <f t="shared" si="0"/>
        <v>125</v>
      </c>
    </row>
    <row r="25" spans="1:5" s="13" customFormat="1" ht="10.9" customHeight="1">
      <c r="A25" s="113" t="s">
        <v>40</v>
      </c>
      <c r="B25" s="9"/>
      <c r="C25" s="10"/>
      <c r="D25" s="11"/>
      <c r="E25" s="12"/>
    </row>
    <row r="26" spans="1:5" s="13" customFormat="1" ht="10.9" customHeight="1">
      <c r="A26" s="109"/>
      <c r="B26" s="14" t="s">
        <v>41</v>
      </c>
      <c r="C26" s="15">
        <v>0.5</v>
      </c>
      <c r="D26" s="16">
        <v>250</v>
      </c>
      <c r="E26" s="17">
        <f t="shared" si="0"/>
        <v>125</v>
      </c>
    </row>
    <row r="27" spans="1:5" s="13" customFormat="1" ht="10.9" customHeight="1">
      <c r="A27" s="37">
        <v>12</v>
      </c>
      <c r="B27" s="14"/>
      <c r="C27" s="15"/>
      <c r="D27" s="16"/>
      <c r="E27" s="17"/>
    </row>
    <row r="28" spans="1:5" s="13" customFormat="1" ht="10.9" customHeight="1" thickBot="1">
      <c r="A28" s="41"/>
      <c r="B28" s="18" t="s">
        <v>11</v>
      </c>
      <c r="C28" s="15">
        <v>0.5</v>
      </c>
      <c r="D28" s="16">
        <v>250</v>
      </c>
      <c r="E28" s="17">
        <f t="shared" si="0"/>
        <v>125</v>
      </c>
    </row>
    <row r="29" spans="1:5" s="13" customFormat="1" ht="10.9" customHeight="1">
      <c r="A29" s="40"/>
      <c r="B29" s="9" t="s">
        <v>10</v>
      </c>
      <c r="C29" s="10">
        <v>0.5</v>
      </c>
      <c r="D29" s="11">
        <v>250</v>
      </c>
      <c r="E29" s="12">
        <f t="shared" ref="E29:E32" si="1">D29*C29</f>
        <v>125</v>
      </c>
    </row>
    <row r="30" spans="1:5" s="13" customFormat="1" ht="10.9" customHeight="1">
      <c r="A30" s="42" t="s">
        <v>29</v>
      </c>
      <c r="B30" s="14" t="s">
        <v>12</v>
      </c>
      <c r="C30" s="15">
        <v>1</v>
      </c>
      <c r="D30" s="16">
        <v>250</v>
      </c>
      <c r="E30" s="17">
        <f t="shared" si="1"/>
        <v>250</v>
      </c>
    </row>
    <row r="31" spans="1:5" s="13" customFormat="1" ht="10.9" customHeight="1">
      <c r="A31" s="37">
        <v>15</v>
      </c>
      <c r="B31" s="14" t="s">
        <v>38</v>
      </c>
      <c r="C31" s="15">
        <v>1</v>
      </c>
      <c r="D31" s="16">
        <v>250</v>
      </c>
      <c r="E31" s="17">
        <f t="shared" si="1"/>
        <v>250</v>
      </c>
    </row>
    <row r="32" spans="1:5" s="13" customFormat="1" ht="10.9" customHeight="1" thickBot="1">
      <c r="A32" s="41"/>
      <c r="B32" s="18" t="s">
        <v>11</v>
      </c>
      <c r="C32" s="15">
        <v>1</v>
      </c>
      <c r="D32" s="16">
        <v>250</v>
      </c>
      <c r="E32" s="17">
        <f t="shared" si="1"/>
        <v>250</v>
      </c>
    </row>
    <row r="33" spans="1:5" s="13" customFormat="1" ht="10.9" customHeight="1">
      <c r="A33" s="40"/>
      <c r="B33" s="9" t="s">
        <v>10</v>
      </c>
      <c r="C33" s="10">
        <v>0.5</v>
      </c>
      <c r="D33" s="11">
        <v>250</v>
      </c>
      <c r="E33" s="12">
        <f t="shared" si="0"/>
        <v>125</v>
      </c>
    </row>
    <row r="34" spans="1:5" s="13" customFormat="1" ht="10.9" customHeight="1">
      <c r="A34" s="42" t="s">
        <v>13</v>
      </c>
      <c r="B34" s="14" t="s">
        <v>33</v>
      </c>
      <c r="C34" s="15">
        <v>0.5</v>
      </c>
      <c r="D34" s="16">
        <v>250</v>
      </c>
      <c r="E34" s="17">
        <f t="shared" si="0"/>
        <v>125</v>
      </c>
    </row>
    <row r="35" spans="1:5" s="13" customFormat="1" ht="10.9" customHeight="1">
      <c r="A35" s="37">
        <v>16</v>
      </c>
      <c r="B35" s="14" t="s">
        <v>38</v>
      </c>
      <c r="C35" s="15">
        <v>0.5</v>
      </c>
      <c r="D35" s="16">
        <v>250</v>
      </c>
      <c r="E35" s="17">
        <f t="shared" si="0"/>
        <v>125</v>
      </c>
    </row>
    <row r="36" spans="1:5" s="13" customFormat="1" ht="10.9" customHeight="1" thickBot="1">
      <c r="A36" s="41"/>
      <c r="B36" s="18" t="s">
        <v>11</v>
      </c>
      <c r="C36" s="15">
        <v>0.5</v>
      </c>
      <c r="D36" s="16">
        <v>250</v>
      </c>
      <c r="E36" s="17">
        <f t="shared" si="0"/>
        <v>125</v>
      </c>
    </row>
    <row r="37" spans="1:5" s="13" customFormat="1" ht="10.9" customHeight="1">
      <c r="A37" s="110" t="s">
        <v>14</v>
      </c>
      <c r="B37" s="9"/>
      <c r="C37" s="10"/>
      <c r="D37" s="11"/>
      <c r="E37" s="12"/>
    </row>
    <row r="38" spans="1:5" s="13" customFormat="1" ht="10.9" customHeight="1">
      <c r="A38" s="111"/>
      <c r="B38" s="14" t="s">
        <v>33</v>
      </c>
      <c r="C38" s="15">
        <v>0.5</v>
      </c>
      <c r="D38" s="16">
        <v>250</v>
      </c>
      <c r="E38" s="17">
        <f t="shared" si="0"/>
        <v>125</v>
      </c>
    </row>
    <row r="39" spans="1:5" s="13" customFormat="1" ht="13.9" customHeight="1">
      <c r="A39" s="111"/>
      <c r="B39" s="14"/>
      <c r="C39" s="15"/>
      <c r="D39" s="16"/>
      <c r="E39" s="17"/>
    </row>
    <row r="40" spans="1:5" s="13" customFormat="1" ht="10.9" customHeight="1" thickBot="1">
      <c r="A40" s="37">
        <v>4</v>
      </c>
      <c r="B40" s="20" t="s">
        <v>11</v>
      </c>
      <c r="C40" s="21">
        <v>0.5</v>
      </c>
      <c r="D40" s="22">
        <v>250</v>
      </c>
      <c r="E40" s="23">
        <f t="shared" si="0"/>
        <v>125</v>
      </c>
    </row>
    <row r="41" spans="1:5" s="13" customFormat="1" ht="10.9" customHeight="1">
      <c r="A41" s="38"/>
      <c r="B41" s="24"/>
      <c r="C41" s="25"/>
      <c r="D41" s="26"/>
      <c r="E41" s="27"/>
    </row>
    <row r="42" spans="1:5" s="13" customFormat="1" ht="10.9" customHeight="1">
      <c r="A42" s="112" t="s">
        <v>42</v>
      </c>
      <c r="B42" s="28" t="s">
        <v>33</v>
      </c>
      <c r="C42" s="15">
        <v>0.5</v>
      </c>
      <c r="D42" s="16">
        <v>250</v>
      </c>
      <c r="E42" s="17">
        <f t="shared" si="0"/>
        <v>125</v>
      </c>
    </row>
    <row r="43" spans="1:5" s="13" customFormat="1" ht="10.9" customHeight="1">
      <c r="A43" s="112"/>
      <c r="B43" s="28"/>
      <c r="C43" s="15"/>
      <c r="D43" s="16"/>
      <c r="E43" s="17"/>
    </row>
    <row r="44" spans="1:5" s="13" customFormat="1" ht="10.9" customHeight="1" thickBot="1">
      <c r="A44" s="39">
        <v>5</v>
      </c>
      <c r="B44" s="29" t="s">
        <v>11</v>
      </c>
      <c r="C44" s="30">
        <v>0.5</v>
      </c>
      <c r="D44" s="31">
        <v>250</v>
      </c>
      <c r="E44" s="32">
        <f t="shared" si="0"/>
        <v>125</v>
      </c>
    </row>
    <row r="45" spans="1:5" s="13" customFormat="1" ht="10.9" customHeight="1">
      <c r="A45" s="40"/>
      <c r="B45" s="9"/>
      <c r="C45" s="10"/>
      <c r="D45" s="11"/>
      <c r="E45" s="12"/>
    </row>
    <row r="46" spans="1:5" s="13" customFormat="1" ht="10.9" customHeight="1">
      <c r="A46" s="111" t="s">
        <v>15</v>
      </c>
      <c r="B46" s="14" t="s">
        <v>33</v>
      </c>
      <c r="C46" s="15">
        <v>0.5</v>
      </c>
      <c r="D46" s="16">
        <v>250</v>
      </c>
      <c r="E46" s="17">
        <f t="shared" si="0"/>
        <v>125</v>
      </c>
    </row>
    <row r="47" spans="1:5" s="13" customFormat="1" ht="10.9" customHeight="1">
      <c r="A47" s="111"/>
      <c r="B47" s="14" t="s">
        <v>38</v>
      </c>
      <c r="C47" s="15">
        <v>0.5</v>
      </c>
      <c r="D47" s="16">
        <v>250</v>
      </c>
      <c r="E47" s="17">
        <f t="shared" si="0"/>
        <v>125</v>
      </c>
    </row>
    <row r="48" spans="1:5" s="13" customFormat="1" ht="10.9" customHeight="1" thickBot="1">
      <c r="A48" s="41">
        <v>6</v>
      </c>
      <c r="B48" s="18" t="s">
        <v>11</v>
      </c>
      <c r="C48" s="30">
        <v>0.5</v>
      </c>
      <c r="D48" s="31">
        <v>250</v>
      </c>
      <c r="E48" s="32">
        <f t="shared" si="0"/>
        <v>125</v>
      </c>
    </row>
    <row r="49" spans="1:5" s="13" customFormat="1" ht="10.9" customHeight="1">
      <c r="A49" s="113" t="s">
        <v>16</v>
      </c>
      <c r="B49" s="9"/>
      <c r="C49" s="10"/>
      <c r="D49" s="11"/>
      <c r="E49" s="12"/>
    </row>
    <row r="50" spans="1:5" s="13" customFormat="1" ht="10.9" customHeight="1">
      <c r="A50" s="109"/>
      <c r="B50" s="14" t="s">
        <v>33</v>
      </c>
      <c r="C50" s="15">
        <v>0.5</v>
      </c>
      <c r="D50" s="16">
        <v>250</v>
      </c>
      <c r="E50" s="17">
        <f t="shared" si="0"/>
        <v>125</v>
      </c>
    </row>
    <row r="51" spans="1:5" s="13" customFormat="1" ht="10.9" customHeight="1">
      <c r="A51" s="37">
        <v>9</v>
      </c>
      <c r="B51" s="14"/>
      <c r="C51" s="15"/>
      <c r="D51" s="16"/>
      <c r="E51" s="17"/>
    </row>
    <row r="52" spans="1:5" s="13" customFormat="1" ht="10.9" customHeight="1" thickBot="1">
      <c r="A52" s="37"/>
      <c r="B52" s="20" t="s">
        <v>11</v>
      </c>
      <c r="C52" s="21">
        <v>0.5</v>
      </c>
      <c r="D52" s="22">
        <v>250</v>
      </c>
      <c r="E52" s="23">
        <f t="shared" si="0"/>
        <v>125</v>
      </c>
    </row>
    <row r="53" spans="1:5" s="13" customFormat="1" ht="10.9" customHeight="1">
      <c r="A53" s="113" t="s">
        <v>30</v>
      </c>
      <c r="B53" s="9" t="s">
        <v>10</v>
      </c>
      <c r="C53" s="25">
        <v>1</v>
      </c>
      <c r="D53" s="11">
        <v>250</v>
      </c>
      <c r="E53" s="12">
        <f t="shared" ref="E53:E56" si="2">D53*C53</f>
        <v>250</v>
      </c>
    </row>
    <row r="54" spans="1:5" s="13" customFormat="1" ht="10.9" customHeight="1">
      <c r="A54" s="109"/>
      <c r="B54" s="14" t="s">
        <v>33</v>
      </c>
      <c r="C54" s="15">
        <v>1</v>
      </c>
      <c r="D54" s="16">
        <v>250</v>
      </c>
      <c r="E54" s="17">
        <f t="shared" si="2"/>
        <v>250</v>
      </c>
    </row>
    <row r="55" spans="1:5" s="13" customFormat="1" ht="10.9" customHeight="1">
      <c r="A55" s="37">
        <v>17</v>
      </c>
      <c r="B55" s="14" t="s">
        <v>38</v>
      </c>
      <c r="C55" s="15">
        <v>1</v>
      </c>
      <c r="D55" s="16">
        <v>250</v>
      </c>
      <c r="E55" s="17">
        <f t="shared" si="2"/>
        <v>250</v>
      </c>
    </row>
    <row r="56" spans="1:5" s="13" customFormat="1" ht="10.9" customHeight="1" thickBot="1">
      <c r="A56" s="41"/>
      <c r="B56" s="18" t="s">
        <v>11</v>
      </c>
      <c r="C56" s="30">
        <v>1</v>
      </c>
      <c r="D56" s="31">
        <v>250</v>
      </c>
      <c r="E56" s="32">
        <f t="shared" si="2"/>
        <v>250</v>
      </c>
    </row>
    <row r="57" spans="1:5" s="13" customFormat="1" ht="10.9" customHeight="1">
      <c r="A57" s="50"/>
      <c r="B57" s="53"/>
      <c r="C57" s="54"/>
      <c r="D57" s="55"/>
      <c r="E57" s="55"/>
    </row>
    <row r="58" spans="1:5" s="13" customFormat="1" ht="10.9" customHeight="1" thickBot="1">
      <c r="A58" s="50"/>
      <c r="B58" s="53"/>
      <c r="C58" s="54"/>
      <c r="D58" s="55"/>
      <c r="E58" s="55"/>
    </row>
    <row r="59" spans="1:5" s="13" customFormat="1" ht="10.9" customHeight="1">
      <c r="A59" s="113" t="s">
        <v>31</v>
      </c>
      <c r="B59" s="9" t="s">
        <v>10</v>
      </c>
      <c r="C59" s="25">
        <v>0.5</v>
      </c>
      <c r="D59" s="11">
        <v>250</v>
      </c>
      <c r="E59" s="12">
        <f t="shared" ref="E59:E62" si="3">D59*C59</f>
        <v>125</v>
      </c>
    </row>
    <row r="60" spans="1:5" s="13" customFormat="1" ht="10.9" customHeight="1">
      <c r="A60" s="109"/>
      <c r="B60" s="14" t="s">
        <v>33</v>
      </c>
      <c r="C60" s="15">
        <v>1</v>
      </c>
      <c r="D60" s="16">
        <v>250</v>
      </c>
      <c r="E60" s="17">
        <f t="shared" si="3"/>
        <v>250</v>
      </c>
    </row>
    <row r="61" spans="1:5" s="13" customFormat="1" ht="10.9" customHeight="1">
      <c r="A61" s="37">
        <v>18</v>
      </c>
      <c r="B61" s="14" t="s">
        <v>38</v>
      </c>
      <c r="C61" s="15">
        <v>1</v>
      </c>
      <c r="D61" s="16">
        <v>250</v>
      </c>
      <c r="E61" s="17">
        <f t="shared" si="3"/>
        <v>250</v>
      </c>
    </row>
    <row r="62" spans="1:5" s="13" customFormat="1" ht="10.9" customHeight="1" thickBot="1">
      <c r="A62" s="41"/>
      <c r="B62" s="18" t="s">
        <v>11</v>
      </c>
      <c r="C62" s="30">
        <v>1</v>
      </c>
      <c r="D62" s="31">
        <v>250</v>
      </c>
      <c r="E62" s="32">
        <f t="shared" si="3"/>
        <v>250</v>
      </c>
    </row>
    <row r="63" spans="1:5" s="13" customFormat="1" ht="10.9" customHeight="1">
      <c r="A63" s="37"/>
      <c r="B63" s="19"/>
      <c r="C63" s="36"/>
      <c r="D63" s="43"/>
      <c r="E63" s="44"/>
    </row>
    <row r="64" spans="1:5" s="13" customFormat="1" ht="10.9" customHeight="1">
      <c r="A64" s="109" t="s">
        <v>43</v>
      </c>
      <c r="B64" s="14" t="s">
        <v>33</v>
      </c>
      <c r="C64" s="15">
        <v>0.5</v>
      </c>
      <c r="D64" s="16">
        <v>250</v>
      </c>
      <c r="E64" s="17">
        <f t="shared" si="0"/>
        <v>125</v>
      </c>
    </row>
    <row r="65" spans="1:5" s="13" customFormat="1" ht="10.9" customHeight="1">
      <c r="A65" s="109"/>
      <c r="B65" s="14"/>
      <c r="C65" s="15"/>
      <c r="D65" s="16"/>
      <c r="E65" s="17"/>
    </row>
    <row r="66" spans="1:5" s="13" customFormat="1" ht="10.9" customHeight="1" thickBot="1">
      <c r="A66" s="41">
        <v>19</v>
      </c>
      <c r="B66" s="18" t="s">
        <v>11</v>
      </c>
      <c r="C66" s="15">
        <v>0.5</v>
      </c>
      <c r="D66" s="16">
        <v>250</v>
      </c>
      <c r="E66" s="17">
        <f t="shared" si="0"/>
        <v>125</v>
      </c>
    </row>
    <row r="67" spans="1:5" s="13" customFormat="1" ht="10.9" customHeight="1">
      <c r="A67" s="40"/>
      <c r="B67" s="9"/>
      <c r="C67" s="10"/>
      <c r="D67" s="11"/>
      <c r="E67" s="12"/>
    </row>
    <row r="68" spans="1:5" s="13" customFormat="1" ht="10.9" customHeight="1">
      <c r="A68" s="109" t="s">
        <v>44</v>
      </c>
      <c r="B68" s="14" t="s">
        <v>33</v>
      </c>
      <c r="C68" s="15">
        <v>0.5</v>
      </c>
      <c r="D68" s="16">
        <v>250</v>
      </c>
      <c r="E68" s="17">
        <f t="shared" si="0"/>
        <v>125</v>
      </c>
    </row>
    <row r="69" spans="1:5" s="13" customFormat="1" ht="10.9" customHeight="1">
      <c r="A69" s="109"/>
      <c r="B69" s="14"/>
      <c r="C69" s="15"/>
      <c r="D69" s="16"/>
      <c r="E69" s="17"/>
    </row>
    <row r="70" spans="1:5" s="13" customFormat="1" ht="10.9" customHeight="1" thickBot="1">
      <c r="A70" s="41">
        <v>20</v>
      </c>
      <c r="B70" s="18" t="s">
        <v>11</v>
      </c>
      <c r="C70" s="15">
        <v>0.5</v>
      </c>
      <c r="D70" s="16">
        <v>250</v>
      </c>
      <c r="E70" s="17">
        <f t="shared" ref="E70:E74" si="4">D70*C70</f>
        <v>125</v>
      </c>
    </row>
    <row r="71" spans="1:5" s="13" customFormat="1" ht="10.9" customHeight="1">
      <c r="A71" s="40"/>
      <c r="B71" s="9"/>
      <c r="C71" s="35"/>
      <c r="D71" s="11"/>
      <c r="E71" s="12"/>
    </row>
    <row r="72" spans="1:5" s="13" customFormat="1" ht="10.9" customHeight="1">
      <c r="A72" s="109" t="s">
        <v>45</v>
      </c>
      <c r="B72" s="14" t="s">
        <v>33</v>
      </c>
      <c r="C72" s="15">
        <v>0.5</v>
      </c>
      <c r="D72" s="16">
        <v>250</v>
      </c>
      <c r="E72" s="17">
        <f t="shared" si="4"/>
        <v>125</v>
      </c>
    </row>
    <row r="73" spans="1:5" s="13" customFormat="1" ht="10.9" customHeight="1">
      <c r="A73" s="109"/>
      <c r="B73" s="14"/>
      <c r="C73" s="15"/>
      <c r="D73" s="16"/>
      <c r="E73" s="17"/>
    </row>
    <row r="74" spans="1:5" s="13" customFormat="1" ht="10.9" customHeight="1" thickBot="1">
      <c r="A74" s="41">
        <v>21</v>
      </c>
      <c r="B74" s="18" t="s">
        <v>11</v>
      </c>
      <c r="C74" s="15">
        <v>0.5</v>
      </c>
      <c r="D74" s="16">
        <v>250</v>
      </c>
      <c r="E74" s="17">
        <f t="shared" si="4"/>
        <v>125</v>
      </c>
    </row>
    <row r="75" spans="1:5" ht="12" customHeight="1" thickBot="1">
      <c r="B75" s="105" t="s">
        <v>17</v>
      </c>
      <c r="C75" s="106"/>
      <c r="D75" s="107">
        <f>SUM(E17:E74)</f>
        <v>6000</v>
      </c>
      <c r="E75" s="108"/>
    </row>
    <row r="76" spans="1:5" ht="12" customHeight="1" thickBot="1">
      <c r="B76" s="105" t="s">
        <v>18</v>
      </c>
      <c r="C76" s="106"/>
      <c r="D76" s="107">
        <f>+D75*0.13</f>
        <v>780</v>
      </c>
      <c r="E76" s="108"/>
    </row>
    <row r="77" spans="1:5" ht="12" customHeight="1" thickBot="1">
      <c r="B77" s="105" t="s">
        <v>19</v>
      </c>
      <c r="C77" s="106"/>
      <c r="D77" s="107">
        <f>+D75+D76</f>
        <v>6780</v>
      </c>
      <c r="E77" s="108"/>
    </row>
    <row r="78" spans="1:5" ht="10.9" customHeight="1">
      <c r="A78" s="51"/>
    </row>
    <row r="79" spans="1:5" ht="12" customHeight="1">
      <c r="A79" s="104" t="s">
        <v>32</v>
      </c>
      <c r="B79" s="104"/>
      <c r="C79" s="104"/>
      <c r="D79" s="104"/>
      <c r="E79" s="104"/>
    </row>
    <row r="80" spans="1:5" ht="12" customHeight="1">
      <c r="A80" s="104"/>
      <c r="B80" s="104"/>
      <c r="C80" s="104"/>
      <c r="D80" s="104"/>
      <c r="E80" s="104"/>
    </row>
    <row r="81" spans="1:5" ht="12" customHeight="1">
      <c r="A81" s="104"/>
      <c r="B81" s="104"/>
      <c r="C81" s="104"/>
      <c r="D81" s="104"/>
      <c r="E81" s="104"/>
    </row>
    <row r="82" spans="1:5" ht="12" customHeight="1">
      <c r="A82" s="104" t="s">
        <v>20</v>
      </c>
      <c r="B82" s="104"/>
      <c r="C82" s="104"/>
      <c r="D82" s="104"/>
      <c r="E82" s="104"/>
    </row>
    <row r="83" spans="1:5" ht="15.6" customHeight="1">
      <c r="A83" s="104"/>
      <c r="B83" s="104"/>
      <c r="C83" s="104"/>
      <c r="D83" s="104"/>
      <c r="E83" s="104"/>
    </row>
    <row r="84" spans="1:5">
      <c r="A84" s="104"/>
      <c r="B84" s="104"/>
      <c r="C84" s="104"/>
      <c r="D84" s="104"/>
      <c r="E84" s="104"/>
    </row>
    <row r="85" spans="1:5">
      <c r="A85" s="51"/>
      <c r="B85" s="33"/>
    </row>
    <row r="86" spans="1:5">
      <c r="A86" s="46" t="s">
        <v>21</v>
      </c>
      <c r="B86" s="33" t="s">
        <v>22</v>
      </c>
    </row>
    <row r="87" spans="1:5">
      <c r="A87" s="51"/>
      <c r="B87" s="33" t="s">
        <v>23</v>
      </c>
    </row>
    <row r="88" spans="1:5">
      <c r="A88" s="51"/>
      <c r="B88" s="33" t="s">
        <v>34</v>
      </c>
    </row>
    <row r="89" spans="1:5">
      <c r="A89" s="51"/>
      <c r="B89" s="33" t="s">
        <v>24</v>
      </c>
    </row>
    <row r="90" spans="1:5">
      <c r="A90" s="51"/>
      <c r="B90" s="33" t="s">
        <v>25</v>
      </c>
    </row>
    <row r="91" spans="1:5">
      <c r="A91" s="51"/>
      <c r="B91" s="33"/>
    </row>
    <row r="92" spans="1:5" ht="18.75">
      <c r="A92" s="51"/>
      <c r="B92" s="34" t="s">
        <v>26</v>
      </c>
    </row>
    <row r="93" spans="1:5">
      <c r="A93" s="51"/>
      <c r="B93" s="33"/>
    </row>
    <row r="94" spans="1:5" ht="13.5">
      <c r="A94" s="52"/>
      <c r="B94" s="33"/>
    </row>
    <row r="95" spans="1:5">
      <c r="B95" s="33"/>
    </row>
  </sheetData>
  <mergeCells count="22">
    <mergeCell ref="A25:A26"/>
    <mergeCell ref="B7:B8"/>
    <mergeCell ref="A13:E14"/>
    <mergeCell ref="A17:A19"/>
    <mergeCell ref="A21:A22"/>
    <mergeCell ref="A72:A73"/>
    <mergeCell ref="A37:A39"/>
    <mergeCell ref="A42:A43"/>
    <mergeCell ref="A46:A47"/>
    <mergeCell ref="A49:A50"/>
    <mergeCell ref="A64:A65"/>
    <mergeCell ref="A68:A69"/>
    <mergeCell ref="A53:A54"/>
    <mergeCell ref="A59:A60"/>
    <mergeCell ref="A79:E81"/>
    <mergeCell ref="A82:E84"/>
    <mergeCell ref="B75:C75"/>
    <mergeCell ref="D75:E75"/>
    <mergeCell ref="B76:C76"/>
    <mergeCell ref="D76:E76"/>
    <mergeCell ref="B77:C77"/>
    <mergeCell ref="D77:E77"/>
  </mergeCells>
  <pageMargins left="0.51181102362204722" right="0.51181102362204722" top="0.98425196850393704" bottom="1.0629921259842521" header="0" footer="0"/>
  <pageSetup paperSize="9" pageOrder="overThenDown" orientation="portrait" horizontalDpi="300" verticalDpi="300" r:id="rId1"/>
  <headerFooter>
    <oddHeader>&amp;L&amp;G&amp;C&amp;16
           &amp;"Times New Roman,Gras"&amp;K00-006CONTROLE TECHNIQUE INSPECTION ET EXPERTISE</oddHeader>
    <oddFooter>&amp;CSiège social: 08 Rue de Lybie Immeuble Mariem. 1er étage-App N°1. Bardo 2000.
Tél: (+216) 31 404 501 – Fax: (+216) 32 404 501 – GSM: (+216) 98 609 304.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tabSelected="1" showWhiteSpace="0" view="pageLayout" topLeftCell="A58" zoomScaleNormal="100" workbookViewId="0">
      <selection sqref="A1:E83"/>
    </sheetView>
  </sheetViews>
  <sheetFormatPr baseColWidth="10" defaultColWidth="11.5703125" defaultRowHeight="12.75"/>
  <cols>
    <col min="1" max="1" width="11.85546875" style="45" customWidth="1"/>
    <col min="2" max="2" width="55" style="2" customWidth="1"/>
    <col min="3" max="3" width="4.42578125" style="1" customWidth="1"/>
    <col min="4" max="4" width="8.28515625" style="1" customWidth="1"/>
    <col min="5" max="5" width="12.28515625" style="1" customWidth="1"/>
    <col min="6" max="16384" width="11.5703125" style="2"/>
  </cols>
  <sheetData>
    <row r="1" spans="1:5">
      <c r="C1" s="3" t="s">
        <v>83</v>
      </c>
      <c r="D1" s="100"/>
      <c r="E1" s="2"/>
    </row>
    <row r="7" spans="1:5">
      <c r="A7" s="46" t="s">
        <v>0</v>
      </c>
      <c r="B7" s="114" t="s">
        <v>35</v>
      </c>
    </row>
    <row r="8" spans="1:5">
      <c r="B8" s="114"/>
    </row>
    <row r="10" spans="1:5" ht="15.75">
      <c r="B10" s="4" t="s">
        <v>80</v>
      </c>
    </row>
    <row r="11" spans="1:5" ht="15.75">
      <c r="B11" s="4"/>
    </row>
    <row r="12" spans="1:5">
      <c r="A12" s="47" t="s">
        <v>1</v>
      </c>
    </row>
    <row r="13" spans="1:5" ht="13.9" customHeight="1">
      <c r="A13" s="115" t="s">
        <v>2</v>
      </c>
      <c r="B13" s="115"/>
      <c r="C13" s="115"/>
      <c r="D13" s="115"/>
      <c r="E13" s="115"/>
    </row>
    <row r="14" spans="1:5" ht="14.45" customHeight="1" thickBot="1">
      <c r="A14" s="115"/>
      <c r="B14" s="115"/>
      <c r="C14" s="115"/>
      <c r="D14" s="115"/>
      <c r="E14" s="115"/>
    </row>
    <row r="15" spans="1:5" customFormat="1" ht="44.25" customHeight="1" thickBot="1">
      <c r="A15" s="57" t="s">
        <v>46</v>
      </c>
      <c r="B15" s="58" t="s">
        <v>4</v>
      </c>
      <c r="C15" s="59" t="s">
        <v>47</v>
      </c>
      <c r="D15" s="60" t="s">
        <v>48</v>
      </c>
      <c r="E15" s="60" t="s">
        <v>49</v>
      </c>
    </row>
    <row r="16" spans="1:5" customFormat="1" ht="15" customHeight="1" thickBot="1">
      <c r="A16" s="116" t="s">
        <v>55</v>
      </c>
      <c r="B16" s="70" t="s">
        <v>51</v>
      </c>
      <c r="C16" s="62">
        <v>1</v>
      </c>
      <c r="D16" s="71">
        <v>190</v>
      </c>
      <c r="E16" s="71">
        <f t="shared" ref="E16:E67" si="0">C16*D16</f>
        <v>190</v>
      </c>
    </row>
    <row r="17" spans="1:5" customFormat="1" ht="15" customHeight="1" thickBot="1">
      <c r="A17" s="117"/>
      <c r="B17" s="72" t="s">
        <v>56</v>
      </c>
      <c r="C17" s="65">
        <v>1</v>
      </c>
      <c r="D17" s="71">
        <v>190</v>
      </c>
      <c r="E17" s="73">
        <f t="shared" si="0"/>
        <v>190</v>
      </c>
    </row>
    <row r="18" spans="1:5" customFormat="1" ht="27" customHeight="1" thickBot="1">
      <c r="A18" s="117"/>
      <c r="B18" s="72" t="s">
        <v>53</v>
      </c>
      <c r="C18" s="65">
        <v>1</v>
      </c>
      <c r="D18" s="71">
        <v>190</v>
      </c>
      <c r="E18" s="73">
        <f t="shared" si="0"/>
        <v>190</v>
      </c>
    </row>
    <row r="19" spans="1:5" customFormat="1" ht="15" customHeight="1" thickBot="1">
      <c r="A19" s="118"/>
      <c r="B19" s="74" t="s">
        <v>8</v>
      </c>
      <c r="C19" s="68">
        <v>1</v>
      </c>
      <c r="D19" s="71">
        <v>190</v>
      </c>
      <c r="E19" s="75">
        <f t="shared" si="0"/>
        <v>190</v>
      </c>
    </row>
    <row r="20" spans="1:5" customFormat="1" ht="15" customHeight="1" thickBot="1">
      <c r="A20" s="116" t="s">
        <v>57</v>
      </c>
      <c r="B20" s="61" t="s">
        <v>51</v>
      </c>
      <c r="C20" s="62">
        <v>1</v>
      </c>
      <c r="D20" s="71">
        <v>190</v>
      </c>
      <c r="E20" s="71">
        <f t="shared" si="0"/>
        <v>190</v>
      </c>
    </row>
    <row r="21" spans="1:5" customFormat="1" ht="15" customHeight="1" thickBot="1">
      <c r="A21" s="117"/>
      <c r="B21" s="64" t="s">
        <v>56</v>
      </c>
      <c r="C21" s="101">
        <v>0.5</v>
      </c>
      <c r="D21" s="71">
        <v>190</v>
      </c>
      <c r="E21" s="73">
        <f t="shared" si="0"/>
        <v>95</v>
      </c>
    </row>
    <row r="22" spans="1:5" customFormat="1" ht="25.5" customHeight="1" thickBot="1">
      <c r="A22" s="117"/>
      <c r="B22" s="64" t="s">
        <v>53</v>
      </c>
      <c r="C22" s="65">
        <v>1</v>
      </c>
      <c r="D22" s="71">
        <v>190</v>
      </c>
      <c r="E22" s="73">
        <f t="shared" si="0"/>
        <v>190</v>
      </c>
    </row>
    <row r="23" spans="1:5" customFormat="1" ht="15" customHeight="1" thickBot="1">
      <c r="A23" s="118"/>
      <c r="B23" s="67" t="s">
        <v>8</v>
      </c>
      <c r="C23" s="68">
        <v>1</v>
      </c>
      <c r="D23" s="71">
        <v>190</v>
      </c>
      <c r="E23" s="75">
        <f t="shared" si="0"/>
        <v>190</v>
      </c>
    </row>
    <row r="24" spans="1:5" customFormat="1" ht="15" customHeight="1" thickBot="1">
      <c r="A24" s="116" t="s">
        <v>58</v>
      </c>
      <c r="B24" s="61" t="s">
        <v>51</v>
      </c>
      <c r="C24" s="62">
        <v>1</v>
      </c>
      <c r="D24" s="71">
        <v>190</v>
      </c>
      <c r="E24" s="71">
        <f t="shared" si="0"/>
        <v>190</v>
      </c>
    </row>
    <row r="25" spans="1:5" customFormat="1" ht="15" customHeight="1" thickBot="1">
      <c r="A25" s="117"/>
      <c r="B25" s="64" t="s">
        <v>52</v>
      </c>
      <c r="C25" s="65">
        <v>1</v>
      </c>
      <c r="D25" s="71">
        <v>190</v>
      </c>
      <c r="E25" s="73">
        <f t="shared" si="0"/>
        <v>190</v>
      </c>
    </row>
    <row r="26" spans="1:5" customFormat="1" ht="15" customHeight="1" thickBot="1">
      <c r="A26" s="117"/>
      <c r="B26" s="64" t="s">
        <v>53</v>
      </c>
      <c r="C26" s="65">
        <v>1</v>
      </c>
      <c r="D26" s="71">
        <v>190</v>
      </c>
      <c r="E26" s="73">
        <f t="shared" si="0"/>
        <v>190</v>
      </c>
    </row>
    <row r="27" spans="1:5" customFormat="1" ht="15" customHeight="1" thickBot="1">
      <c r="A27" s="118"/>
      <c r="B27" s="67" t="s">
        <v>8</v>
      </c>
      <c r="C27" s="68">
        <v>1</v>
      </c>
      <c r="D27" s="71">
        <v>190</v>
      </c>
      <c r="E27" s="75">
        <f t="shared" si="0"/>
        <v>190</v>
      </c>
    </row>
    <row r="28" spans="1:5" customFormat="1" ht="15" customHeight="1" thickBot="1">
      <c r="A28" s="116" t="s">
        <v>59</v>
      </c>
      <c r="B28" s="61" t="s">
        <v>51</v>
      </c>
      <c r="C28" s="62">
        <v>1</v>
      </c>
      <c r="D28" s="71">
        <v>190</v>
      </c>
      <c r="E28" s="71">
        <f t="shared" si="0"/>
        <v>190</v>
      </c>
    </row>
    <row r="29" spans="1:5" customFormat="1" ht="15" customHeight="1" thickBot="1">
      <c r="A29" s="117"/>
      <c r="B29" s="64" t="s">
        <v>52</v>
      </c>
      <c r="C29" s="65">
        <v>1</v>
      </c>
      <c r="D29" s="71">
        <v>190</v>
      </c>
      <c r="E29" s="73">
        <f t="shared" si="0"/>
        <v>190</v>
      </c>
    </row>
    <row r="30" spans="1:5" customFormat="1" ht="15" customHeight="1" thickBot="1">
      <c r="A30" s="117"/>
      <c r="B30" s="64" t="s">
        <v>53</v>
      </c>
      <c r="C30" s="65">
        <v>1</v>
      </c>
      <c r="D30" s="71">
        <v>190</v>
      </c>
      <c r="E30" s="73">
        <f t="shared" si="0"/>
        <v>190</v>
      </c>
    </row>
    <row r="31" spans="1:5" customFormat="1" ht="15" customHeight="1" thickBot="1">
      <c r="A31" s="118"/>
      <c r="B31" s="67" t="s">
        <v>8</v>
      </c>
      <c r="C31" s="68">
        <v>1</v>
      </c>
      <c r="D31" s="71">
        <v>190</v>
      </c>
      <c r="E31" s="75">
        <f t="shared" si="0"/>
        <v>190</v>
      </c>
    </row>
    <row r="32" spans="1:5" customFormat="1" ht="15" customHeight="1" thickBot="1">
      <c r="A32" s="116" t="s">
        <v>60</v>
      </c>
      <c r="B32" s="61" t="s">
        <v>51</v>
      </c>
      <c r="C32" s="62">
        <v>1</v>
      </c>
      <c r="D32" s="71">
        <v>190</v>
      </c>
      <c r="E32" s="71">
        <f t="shared" si="0"/>
        <v>190</v>
      </c>
    </row>
    <row r="33" spans="1:5" customFormat="1" ht="15" customHeight="1" thickBot="1">
      <c r="A33" s="117"/>
      <c r="B33" s="64" t="s">
        <v>52</v>
      </c>
      <c r="C33" s="65">
        <v>1</v>
      </c>
      <c r="D33" s="71">
        <v>190</v>
      </c>
      <c r="E33" s="73">
        <f t="shared" si="0"/>
        <v>190</v>
      </c>
    </row>
    <row r="34" spans="1:5" customFormat="1" ht="15" customHeight="1" thickBot="1">
      <c r="A34" s="117"/>
      <c r="B34" s="64" t="s">
        <v>53</v>
      </c>
      <c r="C34" s="65">
        <v>1</v>
      </c>
      <c r="D34" s="71">
        <v>190</v>
      </c>
      <c r="E34" s="73">
        <f t="shared" si="0"/>
        <v>190</v>
      </c>
    </row>
    <row r="35" spans="1:5" customFormat="1" ht="15" customHeight="1" thickBot="1">
      <c r="A35" s="118"/>
      <c r="B35" s="67" t="s">
        <v>8</v>
      </c>
      <c r="C35" s="68">
        <v>1</v>
      </c>
      <c r="D35" s="71">
        <v>190</v>
      </c>
      <c r="E35" s="75">
        <f t="shared" si="0"/>
        <v>190</v>
      </c>
    </row>
    <row r="36" spans="1:5" customFormat="1" ht="15" customHeight="1" thickBot="1">
      <c r="A36" s="116" t="s">
        <v>61</v>
      </c>
      <c r="B36" s="76" t="s">
        <v>51</v>
      </c>
      <c r="C36" s="99">
        <v>0.5</v>
      </c>
      <c r="D36" s="71">
        <v>190</v>
      </c>
      <c r="E36" s="71">
        <f t="shared" si="0"/>
        <v>95</v>
      </c>
    </row>
    <row r="37" spans="1:5" customFormat="1" ht="15" customHeight="1" thickBot="1">
      <c r="A37" s="117"/>
      <c r="B37" s="78" t="s">
        <v>52</v>
      </c>
      <c r="C37" s="65">
        <v>1</v>
      </c>
      <c r="D37" s="71">
        <v>190</v>
      </c>
      <c r="E37" s="73">
        <f t="shared" si="0"/>
        <v>190</v>
      </c>
    </row>
    <row r="38" spans="1:5" customFormat="1" ht="27.75" customHeight="1" thickBot="1">
      <c r="A38" s="117"/>
      <c r="B38" s="78" t="s">
        <v>53</v>
      </c>
      <c r="C38" s="65">
        <v>1</v>
      </c>
      <c r="D38" s="71">
        <v>190</v>
      </c>
      <c r="E38" s="73">
        <f t="shared" si="0"/>
        <v>190</v>
      </c>
    </row>
    <row r="39" spans="1:5" customFormat="1" ht="15" customHeight="1" thickBot="1">
      <c r="A39" s="118"/>
      <c r="B39" s="79" t="s">
        <v>8</v>
      </c>
      <c r="C39" s="68">
        <v>1</v>
      </c>
      <c r="D39" s="71">
        <v>190</v>
      </c>
      <c r="E39" s="75">
        <f t="shared" si="0"/>
        <v>190</v>
      </c>
    </row>
    <row r="40" spans="1:5" customFormat="1" ht="15" customHeight="1" thickBot="1">
      <c r="A40" s="116" t="s">
        <v>62</v>
      </c>
      <c r="B40" s="76" t="s">
        <v>51</v>
      </c>
      <c r="C40" s="62">
        <v>1</v>
      </c>
      <c r="D40" s="71">
        <v>190</v>
      </c>
      <c r="E40" s="71">
        <f t="shared" si="0"/>
        <v>190</v>
      </c>
    </row>
    <row r="41" spans="1:5" customFormat="1" ht="15" customHeight="1" thickBot="1">
      <c r="A41" s="117"/>
      <c r="B41" s="78" t="s">
        <v>52</v>
      </c>
      <c r="C41" s="65">
        <v>1</v>
      </c>
      <c r="D41" s="71">
        <v>190</v>
      </c>
      <c r="E41" s="73">
        <f t="shared" si="0"/>
        <v>190</v>
      </c>
    </row>
    <row r="42" spans="1:5" customFormat="1" ht="30.75" customHeight="1" thickBot="1">
      <c r="A42" s="117"/>
      <c r="B42" s="78" t="s">
        <v>53</v>
      </c>
      <c r="C42" s="65">
        <v>1</v>
      </c>
      <c r="D42" s="71">
        <v>190</v>
      </c>
      <c r="E42" s="73">
        <f t="shared" si="0"/>
        <v>190</v>
      </c>
    </row>
    <row r="43" spans="1:5" customFormat="1" ht="21" customHeight="1" thickBot="1">
      <c r="A43" s="118"/>
      <c r="B43" s="79" t="s">
        <v>8</v>
      </c>
      <c r="C43" s="68">
        <v>1</v>
      </c>
      <c r="D43" s="71">
        <v>190</v>
      </c>
      <c r="E43" s="75">
        <f t="shared" si="0"/>
        <v>190</v>
      </c>
    </row>
    <row r="44" spans="1:5" customFormat="1" ht="15" customHeight="1" thickBot="1">
      <c r="A44" s="116" t="s">
        <v>63</v>
      </c>
      <c r="B44" s="76" t="s">
        <v>51</v>
      </c>
      <c r="C44" s="62">
        <v>1</v>
      </c>
      <c r="D44" s="71">
        <v>190</v>
      </c>
      <c r="E44" s="71">
        <f t="shared" si="0"/>
        <v>190</v>
      </c>
    </row>
    <row r="45" spans="1:5" customFormat="1" ht="15" customHeight="1" thickBot="1">
      <c r="A45" s="117"/>
      <c r="B45" s="78" t="s">
        <v>52</v>
      </c>
      <c r="C45" s="65">
        <v>1</v>
      </c>
      <c r="D45" s="71">
        <v>190</v>
      </c>
      <c r="E45" s="73">
        <f t="shared" si="0"/>
        <v>190</v>
      </c>
    </row>
    <row r="46" spans="1:5" customFormat="1" ht="27" customHeight="1" thickBot="1">
      <c r="A46" s="117"/>
      <c r="B46" s="78" t="s">
        <v>53</v>
      </c>
      <c r="C46" s="65">
        <v>1</v>
      </c>
      <c r="D46" s="71">
        <v>190</v>
      </c>
      <c r="E46" s="73">
        <f t="shared" si="0"/>
        <v>190</v>
      </c>
    </row>
    <row r="47" spans="1:5" customFormat="1" ht="15" customHeight="1" thickBot="1">
      <c r="A47" s="118"/>
      <c r="B47" s="79" t="s">
        <v>8</v>
      </c>
      <c r="C47" s="68">
        <v>1</v>
      </c>
      <c r="D47" s="71">
        <v>190</v>
      </c>
      <c r="E47" s="75">
        <f t="shared" si="0"/>
        <v>190</v>
      </c>
    </row>
    <row r="48" spans="1:5" customFormat="1" ht="15" customHeight="1" thickBot="1">
      <c r="A48" s="116" t="s">
        <v>64</v>
      </c>
      <c r="B48" s="70" t="s">
        <v>51</v>
      </c>
      <c r="C48" s="62">
        <v>1</v>
      </c>
      <c r="D48" s="71">
        <v>190</v>
      </c>
      <c r="E48" s="71">
        <f t="shared" si="0"/>
        <v>190</v>
      </c>
    </row>
    <row r="49" spans="1:5" customFormat="1" ht="15" customHeight="1" thickBot="1">
      <c r="A49" s="117"/>
      <c r="B49" s="72" t="s">
        <v>52</v>
      </c>
      <c r="C49" s="101">
        <v>0.5</v>
      </c>
      <c r="D49" s="71">
        <v>190</v>
      </c>
      <c r="E49" s="73">
        <f t="shared" si="0"/>
        <v>95</v>
      </c>
    </row>
    <row r="50" spans="1:5" customFormat="1" ht="26.25" customHeight="1" thickBot="1">
      <c r="A50" s="117"/>
      <c r="B50" s="72" t="s">
        <v>53</v>
      </c>
      <c r="C50" s="65">
        <v>1</v>
      </c>
      <c r="D50" s="71">
        <v>190</v>
      </c>
      <c r="E50" s="73">
        <f t="shared" si="0"/>
        <v>190</v>
      </c>
    </row>
    <row r="51" spans="1:5" customFormat="1" ht="15" customHeight="1" thickBot="1">
      <c r="A51" s="118"/>
      <c r="B51" s="74" t="s">
        <v>8</v>
      </c>
      <c r="C51" s="68">
        <v>1</v>
      </c>
      <c r="D51" s="71">
        <v>190</v>
      </c>
      <c r="E51" s="75">
        <f t="shared" si="0"/>
        <v>190</v>
      </c>
    </row>
    <row r="52" spans="1:5" customFormat="1" ht="15" customHeight="1" thickBot="1">
      <c r="A52" s="116" t="s">
        <v>65</v>
      </c>
      <c r="B52" s="80" t="s">
        <v>51</v>
      </c>
      <c r="C52" s="102">
        <v>0.5</v>
      </c>
      <c r="D52" s="71">
        <v>190</v>
      </c>
      <c r="E52" s="71">
        <f t="shared" si="0"/>
        <v>95</v>
      </c>
    </row>
    <row r="53" spans="1:5" customFormat="1" ht="15" customHeight="1" thickBot="1">
      <c r="A53" s="117"/>
      <c r="B53" s="72" t="s">
        <v>52</v>
      </c>
      <c r="C53" s="65">
        <v>1</v>
      </c>
      <c r="D53" s="71">
        <v>190</v>
      </c>
      <c r="E53" s="73">
        <f t="shared" si="0"/>
        <v>190</v>
      </c>
    </row>
    <row r="54" spans="1:5" customFormat="1" ht="30" customHeight="1" thickBot="1">
      <c r="A54" s="117"/>
      <c r="B54" s="72" t="s">
        <v>53</v>
      </c>
      <c r="C54" s="65">
        <v>1</v>
      </c>
      <c r="D54" s="71">
        <v>190</v>
      </c>
      <c r="E54" s="73">
        <f t="shared" si="0"/>
        <v>190</v>
      </c>
    </row>
    <row r="55" spans="1:5" customFormat="1" ht="15" customHeight="1" thickBot="1">
      <c r="A55" s="118"/>
      <c r="B55" s="74" t="s">
        <v>8</v>
      </c>
      <c r="C55" s="68">
        <v>1</v>
      </c>
      <c r="D55" s="71">
        <v>190</v>
      </c>
      <c r="E55" s="75">
        <f t="shared" si="0"/>
        <v>190</v>
      </c>
    </row>
    <row r="56" spans="1:5" customFormat="1" ht="15" customHeight="1" thickBot="1">
      <c r="A56" s="116" t="s">
        <v>66</v>
      </c>
      <c r="B56" s="80" t="s">
        <v>51</v>
      </c>
      <c r="C56" s="102">
        <v>0.5</v>
      </c>
      <c r="D56" s="71">
        <v>190</v>
      </c>
      <c r="E56" s="71">
        <f t="shared" si="0"/>
        <v>95</v>
      </c>
    </row>
    <row r="57" spans="1:5" customFormat="1" ht="15" customHeight="1" thickBot="1">
      <c r="A57" s="117"/>
      <c r="B57" s="72" t="s">
        <v>52</v>
      </c>
      <c r="C57" s="65">
        <v>1</v>
      </c>
      <c r="D57" s="71">
        <v>190</v>
      </c>
      <c r="E57" s="73">
        <f t="shared" si="0"/>
        <v>190</v>
      </c>
    </row>
    <row r="58" spans="1:5" customFormat="1" ht="30" customHeight="1" thickBot="1">
      <c r="A58" s="117"/>
      <c r="B58" s="72" t="s">
        <v>53</v>
      </c>
      <c r="C58" s="65">
        <v>1</v>
      </c>
      <c r="D58" s="71">
        <v>190</v>
      </c>
      <c r="E58" s="73">
        <f t="shared" si="0"/>
        <v>190</v>
      </c>
    </row>
    <row r="59" spans="1:5" customFormat="1" ht="15" customHeight="1" thickBot="1">
      <c r="A59" s="118"/>
      <c r="B59" s="74" t="s">
        <v>8</v>
      </c>
      <c r="C59" s="68">
        <v>1</v>
      </c>
      <c r="D59" s="71">
        <v>190</v>
      </c>
      <c r="E59" s="75">
        <f t="shared" si="0"/>
        <v>190</v>
      </c>
    </row>
    <row r="60" spans="1:5" customFormat="1" ht="15" customHeight="1" thickBot="1">
      <c r="A60" s="116" t="s">
        <v>67</v>
      </c>
      <c r="B60" s="70" t="s">
        <v>51</v>
      </c>
      <c r="C60" s="62">
        <v>1</v>
      </c>
      <c r="D60" s="71">
        <v>190</v>
      </c>
      <c r="E60" s="71">
        <f t="shared" si="0"/>
        <v>190</v>
      </c>
    </row>
    <row r="61" spans="1:5" customFormat="1" ht="15" customHeight="1" thickBot="1">
      <c r="A61" s="117"/>
      <c r="B61" s="72" t="s">
        <v>52</v>
      </c>
      <c r="C61" s="65">
        <v>1</v>
      </c>
      <c r="D61" s="71">
        <v>190</v>
      </c>
      <c r="E61" s="73">
        <f t="shared" si="0"/>
        <v>190</v>
      </c>
    </row>
    <row r="62" spans="1:5" customFormat="1" ht="26.25" customHeight="1" thickBot="1">
      <c r="A62" s="117"/>
      <c r="B62" s="72" t="s">
        <v>53</v>
      </c>
      <c r="C62" s="65">
        <v>1</v>
      </c>
      <c r="D62" s="71">
        <v>190</v>
      </c>
      <c r="E62" s="73">
        <f t="shared" si="0"/>
        <v>190</v>
      </c>
    </row>
    <row r="63" spans="1:5" customFormat="1" ht="15" customHeight="1" thickBot="1">
      <c r="A63" s="118"/>
      <c r="B63" s="74" t="s">
        <v>8</v>
      </c>
      <c r="C63" s="68">
        <v>1</v>
      </c>
      <c r="D63" s="71">
        <v>190</v>
      </c>
      <c r="E63" s="75">
        <f t="shared" si="0"/>
        <v>190</v>
      </c>
    </row>
    <row r="64" spans="1:5" customFormat="1" ht="15" customHeight="1" thickBot="1">
      <c r="A64" s="116" t="s">
        <v>68</v>
      </c>
      <c r="B64" s="61" t="s">
        <v>51</v>
      </c>
      <c r="C64" s="62">
        <v>1</v>
      </c>
      <c r="D64" s="71">
        <v>190</v>
      </c>
      <c r="E64" s="71">
        <f t="shared" si="0"/>
        <v>190</v>
      </c>
    </row>
    <row r="65" spans="1:5" customFormat="1" ht="15" customHeight="1" thickBot="1">
      <c r="A65" s="117"/>
      <c r="B65" s="64" t="s">
        <v>52</v>
      </c>
      <c r="C65" s="65">
        <v>1</v>
      </c>
      <c r="D65" s="71">
        <v>190</v>
      </c>
      <c r="E65" s="73">
        <f t="shared" si="0"/>
        <v>190</v>
      </c>
    </row>
    <row r="66" spans="1:5" customFormat="1" ht="27.75" customHeight="1" thickBot="1">
      <c r="A66" s="117"/>
      <c r="B66" s="64" t="s">
        <v>53</v>
      </c>
      <c r="C66" s="65">
        <v>1</v>
      </c>
      <c r="D66" s="71">
        <v>190</v>
      </c>
      <c r="E66" s="73">
        <f t="shared" si="0"/>
        <v>190</v>
      </c>
    </row>
    <row r="67" spans="1:5" customFormat="1" ht="15" customHeight="1" thickBot="1">
      <c r="A67" s="118"/>
      <c r="B67" s="67" t="s">
        <v>8</v>
      </c>
      <c r="C67" s="68">
        <v>1</v>
      </c>
      <c r="D67" s="71">
        <v>190</v>
      </c>
      <c r="E67" s="75">
        <f t="shared" si="0"/>
        <v>190</v>
      </c>
    </row>
    <row r="68" spans="1:5" customFormat="1" ht="35.25" customHeight="1">
      <c r="A68" s="84"/>
      <c r="B68" s="85" t="s">
        <v>72</v>
      </c>
      <c r="C68" s="86"/>
      <c r="D68" s="86"/>
      <c r="E68" s="87">
        <f>E16+E17+E18+E19+E20+E21+E22+E23+E24+E25+E26+E27+E28+E29+E30+E31+E32+E33+E34+E35+E36+E37+E38+E39+E40+E41+E42+E43+E44+E45+E46+E47+E49+E48+E50+E51+E52+E53+E54+E55+E56+E57+E58+E59+E60+E61+E62+E63+E64+E65+E66+D67</f>
        <v>9405</v>
      </c>
    </row>
    <row r="69" spans="1:5" customFormat="1" ht="15" customHeight="1">
      <c r="A69" s="88"/>
      <c r="B69" s="89" t="s">
        <v>73</v>
      </c>
      <c r="C69" s="90"/>
      <c r="D69" s="90"/>
      <c r="E69" s="91">
        <f>E68*0.13</f>
        <v>1222.6500000000001</v>
      </c>
    </row>
    <row r="70" spans="1:5" customFormat="1" ht="25.5" customHeight="1">
      <c r="A70" s="88"/>
      <c r="B70" s="89" t="s">
        <v>74</v>
      </c>
      <c r="C70" s="90"/>
      <c r="D70" s="90"/>
      <c r="E70" s="103" t="s">
        <v>82</v>
      </c>
    </row>
    <row r="71" spans="1:5" customFormat="1" ht="15" customHeight="1">
      <c r="A71" s="104" t="s">
        <v>81</v>
      </c>
      <c r="B71" s="104"/>
      <c r="C71" s="104"/>
      <c r="D71" s="104"/>
      <c r="E71" s="104"/>
    </row>
    <row r="72" spans="1:5" customFormat="1" ht="15" customHeight="1">
      <c r="A72" s="104"/>
      <c r="B72" s="104"/>
      <c r="C72" s="104"/>
      <c r="D72" s="104"/>
      <c r="E72" s="104"/>
    </row>
    <row r="73" spans="1:5" customFormat="1" ht="15" customHeight="1">
      <c r="A73" s="104"/>
      <c r="B73" s="104"/>
      <c r="C73" s="104"/>
      <c r="D73" s="104"/>
      <c r="E73" s="104"/>
    </row>
    <row r="74" spans="1:5" customFormat="1" ht="15" customHeight="1">
      <c r="A74" s="104" t="s">
        <v>20</v>
      </c>
      <c r="B74" s="104"/>
      <c r="C74" s="104"/>
      <c r="D74" s="104"/>
      <c r="E74" s="104"/>
    </row>
    <row r="75" spans="1:5" customFormat="1" ht="15" customHeight="1">
      <c r="A75" s="104"/>
      <c r="B75" s="104"/>
      <c r="C75" s="104"/>
      <c r="D75" s="104"/>
      <c r="E75" s="104"/>
    </row>
    <row r="76" spans="1:5" customFormat="1" ht="15" customHeight="1">
      <c r="A76" s="104"/>
      <c r="B76" s="104"/>
      <c r="C76" s="104"/>
      <c r="D76" s="104"/>
      <c r="E76" s="104"/>
    </row>
    <row r="77" spans="1:5" customFormat="1" ht="15" customHeight="1">
      <c r="A77" s="46" t="s">
        <v>21</v>
      </c>
      <c r="B77" s="33" t="s">
        <v>22</v>
      </c>
      <c r="C77" s="1"/>
      <c r="D77" s="1"/>
      <c r="E77" s="1"/>
    </row>
    <row r="78" spans="1:5" customFormat="1" ht="15" customHeight="1">
      <c r="A78" s="51"/>
      <c r="B78" s="33" t="s">
        <v>84</v>
      </c>
      <c r="C78" s="1"/>
      <c r="D78" s="1"/>
      <c r="E78" s="1"/>
    </row>
    <row r="79" spans="1:5" customFormat="1" ht="15" customHeight="1">
      <c r="A79" s="51"/>
      <c r="B79" s="33" t="s">
        <v>34</v>
      </c>
      <c r="C79" s="1"/>
      <c r="D79" s="1"/>
      <c r="E79" s="1"/>
    </row>
    <row r="80" spans="1:5" customFormat="1" ht="15" customHeight="1">
      <c r="A80" s="51"/>
      <c r="B80" s="33" t="s">
        <v>24</v>
      </c>
      <c r="C80" s="1"/>
      <c r="D80" s="1"/>
      <c r="E80" s="1"/>
    </row>
    <row r="81" spans="1:5" customFormat="1" ht="15" customHeight="1">
      <c r="A81" s="51"/>
      <c r="B81" s="33" t="s">
        <v>25</v>
      </c>
      <c r="C81" s="1"/>
      <c r="D81" s="1"/>
      <c r="E81" s="1"/>
    </row>
    <row r="82" spans="1:5" customFormat="1" ht="15" customHeight="1">
      <c r="A82" s="51"/>
      <c r="B82" s="33"/>
      <c r="C82" s="1"/>
      <c r="D82" s="1"/>
      <c r="E82" s="1"/>
    </row>
    <row r="83" spans="1:5" customFormat="1" ht="15" customHeight="1">
      <c r="A83" s="51"/>
      <c r="B83" s="34" t="s">
        <v>26</v>
      </c>
      <c r="C83" s="1"/>
      <c r="D83" s="1"/>
      <c r="E83" s="1"/>
    </row>
    <row r="84" spans="1:5" customFormat="1" ht="15" customHeight="1">
      <c r="A84" s="45"/>
      <c r="B84" s="2"/>
      <c r="C84" s="1"/>
      <c r="D84" s="1"/>
      <c r="E84" s="1"/>
    </row>
    <row r="85" spans="1:5" customFormat="1" ht="15" customHeight="1">
      <c r="A85" s="45"/>
      <c r="B85" s="2"/>
      <c r="C85" s="1"/>
      <c r="D85" s="1"/>
      <c r="E85" s="1"/>
    </row>
    <row r="86" spans="1:5" customFormat="1" ht="15" customHeight="1">
      <c r="A86" s="45"/>
      <c r="B86" s="2"/>
      <c r="C86" s="1"/>
      <c r="D86" s="1"/>
      <c r="E86" s="1"/>
    </row>
    <row r="87" spans="1:5" customFormat="1" ht="15" customHeight="1">
      <c r="A87" s="45"/>
      <c r="B87" s="2"/>
      <c r="C87" s="1"/>
      <c r="D87" s="1"/>
      <c r="E87" s="1"/>
    </row>
    <row r="88" spans="1:5" customFormat="1" ht="15" customHeight="1">
      <c r="A88" s="45"/>
      <c r="B88" s="2"/>
      <c r="C88" s="1"/>
      <c r="D88" s="1"/>
      <c r="E88" s="1"/>
    </row>
    <row r="89" spans="1:5" customFormat="1" ht="15" customHeight="1">
      <c r="A89" s="45"/>
      <c r="B89" s="2"/>
      <c r="C89" s="1"/>
      <c r="D89" s="1"/>
      <c r="E89" s="1"/>
    </row>
    <row r="90" spans="1:5" customFormat="1" ht="15" customHeight="1">
      <c r="A90" s="45"/>
      <c r="B90" s="2"/>
      <c r="C90" s="1"/>
      <c r="D90" s="1"/>
      <c r="E90" s="1"/>
    </row>
    <row r="91" spans="1:5" customFormat="1" ht="15" customHeight="1">
      <c r="A91" s="45"/>
      <c r="B91" s="2"/>
      <c r="C91" s="1"/>
      <c r="D91" s="1"/>
      <c r="E91" s="1"/>
    </row>
    <row r="92" spans="1:5" customFormat="1" ht="15" customHeight="1">
      <c r="A92" s="45"/>
      <c r="B92" s="2"/>
      <c r="C92" s="1"/>
      <c r="D92" s="1"/>
      <c r="E92" s="1"/>
    </row>
    <row r="93" spans="1:5" customFormat="1" ht="15" customHeight="1">
      <c r="A93" s="45"/>
      <c r="B93" s="2"/>
      <c r="C93" s="1"/>
      <c r="D93" s="1"/>
      <c r="E93" s="1"/>
    </row>
    <row r="94" spans="1:5" customFormat="1" ht="15" customHeight="1">
      <c r="A94" s="45"/>
      <c r="B94" s="2"/>
      <c r="C94" s="1"/>
      <c r="D94" s="1"/>
      <c r="E94" s="1"/>
    </row>
    <row r="95" spans="1:5" customFormat="1" ht="15">
      <c r="A95" s="45"/>
      <c r="B95" s="2"/>
      <c r="C95" s="1"/>
      <c r="D95" s="1"/>
      <c r="E95" s="1"/>
    </row>
    <row r="96" spans="1:5" customFormat="1" ht="15">
      <c r="A96" s="45"/>
      <c r="B96" s="2"/>
      <c r="C96" s="1"/>
      <c r="D96" s="1"/>
      <c r="E96" s="1"/>
    </row>
    <row r="97" spans="1:5" customFormat="1" ht="15">
      <c r="A97" s="45"/>
      <c r="B97" s="2"/>
      <c r="C97" s="1"/>
      <c r="D97" s="1"/>
      <c r="E97" s="1"/>
    </row>
    <row r="98" spans="1:5" customFormat="1" ht="15">
      <c r="A98" s="45"/>
      <c r="B98" s="2"/>
      <c r="C98" s="1"/>
      <c r="D98" s="1"/>
      <c r="E98" s="1"/>
    </row>
    <row r="99" spans="1:5" customFormat="1" ht="15">
      <c r="A99" s="45"/>
      <c r="B99" s="2"/>
      <c r="C99" s="1"/>
      <c r="D99" s="1"/>
      <c r="E99" s="1"/>
    </row>
    <row r="100" spans="1:5" ht="12" customHeight="1"/>
    <row r="101" spans="1:5" ht="12" customHeight="1"/>
    <row r="102" spans="1:5" ht="12" customHeight="1"/>
    <row r="103" spans="1:5" ht="12" customHeight="1"/>
    <row r="104" spans="1:5" ht="15.6" customHeight="1"/>
  </sheetData>
  <mergeCells count="17">
    <mergeCell ref="B7:B8"/>
    <mergeCell ref="A13:E14"/>
    <mergeCell ref="A32:A35"/>
    <mergeCell ref="A36:A39"/>
    <mergeCell ref="A40:A43"/>
    <mergeCell ref="A44:A47"/>
    <mergeCell ref="A48:A51"/>
    <mergeCell ref="A16:A19"/>
    <mergeCell ref="A20:A23"/>
    <mergeCell ref="A24:A27"/>
    <mergeCell ref="A28:A31"/>
    <mergeCell ref="A74:E76"/>
    <mergeCell ref="A52:A55"/>
    <mergeCell ref="A56:A59"/>
    <mergeCell ref="A60:A63"/>
    <mergeCell ref="A64:A67"/>
    <mergeCell ref="A71:E73"/>
  </mergeCells>
  <pageMargins left="0.51181102362204722" right="0.51181102362204722" top="0.98425196850393704" bottom="1.0629921259842521" header="0" footer="0"/>
  <pageSetup paperSize="9" pageOrder="overThenDown" orientation="portrait" horizontalDpi="300" verticalDpi="300" r:id="rId1"/>
  <headerFooter>
    <oddHeader>&amp;L&amp;G&amp;C&amp;16
           &amp;"Times New Roman,Gras"&amp;K00-003CONTROLE TECHNIQUE INSPECTION ET EXPERTISE</oddHeader>
    <oddFooter xml:space="preserve">&amp;CSiège social: Imm R2. 2er étage-App N°6. Bardo 2000.
Tél: (+216) 31 404 501 – Fax: (+216) 32 404 501 – GSM: (+216) 98 609 304.
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6:E96"/>
  <sheetViews>
    <sheetView topLeftCell="A80" workbookViewId="0">
      <selection activeCell="A93" sqref="A7:XFD93"/>
    </sheetView>
  </sheetViews>
  <sheetFormatPr baseColWidth="10" defaultRowHeight="15"/>
  <cols>
    <col min="1" max="1" width="15.42578125" customWidth="1"/>
    <col min="2" max="2" width="63.140625" customWidth="1"/>
    <col min="3" max="3" width="17.28515625" customWidth="1"/>
    <col min="4" max="4" width="12.7109375" style="56" customWidth="1"/>
    <col min="5" max="5" width="13.140625" style="56" customWidth="1"/>
    <col min="257" max="257" width="15.42578125" customWidth="1"/>
    <col min="258" max="258" width="63.140625" customWidth="1"/>
    <col min="259" max="259" width="17.28515625" customWidth="1"/>
    <col min="260" max="260" width="12.7109375" customWidth="1"/>
    <col min="261" max="261" width="13.140625" customWidth="1"/>
    <col min="513" max="513" width="15.42578125" customWidth="1"/>
    <col min="514" max="514" width="63.140625" customWidth="1"/>
    <col min="515" max="515" width="17.28515625" customWidth="1"/>
    <col min="516" max="516" width="12.7109375" customWidth="1"/>
    <col min="517" max="517" width="13.140625" customWidth="1"/>
    <col min="769" max="769" width="15.42578125" customWidth="1"/>
    <col min="770" max="770" width="63.140625" customWidth="1"/>
    <col min="771" max="771" width="17.28515625" customWidth="1"/>
    <col min="772" max="772" width="12.7109375" customWidth="1"/>
    <col min="773" max="773" width="13.140625" customWidth="1"/>
    <col min="1025" max="1025" width="15.42578125" customWidth="1"/>
    <col min="1026" max="1026" width="63.140625" customWidth="1"/>
    <col min="1027" max="1027" width="17.28515625" customWidth="1"/>
    <col min="1028" max="1028" width="12.7109375" customWidth="1"/>
    <col min="1029" max="1029" width="13.140625" customWidth="1"/>
    <col min="1281" max="1281" width="15.42578125" customWidth="1"/>
    <col min="1282" max="1282" width="63.140625" customWidth="1"/>
    <col min="1283" max="1283" width="17.28515625" customWidth="1"/>
    <col min="1284" max="1284" width="12.7109375" customWidth="1"/>
    <col min="1285" max="1285" width="13.140625" customWidth="1"/>
    <col min="1537" max="1537" width="15.42578125" customWidth="1"/>
    <col min="1538" max="1538" width="63.140625" customWidth="1"/>
    <col min="1539" max="1539" width="17.28515625" customWidth="1"/>
    <col min="1540" max="1540" width="12.7109375" customWidth="1"/>
    <col min="1541" max="1541" width="13.140625" customWidth="1"/>
    <col min="1793" max="1793" width="15.42578125" customWidth="1"/>
    <col min="1794" max="1794" width="63.140625" customWidth="1"/>
    <col min="1795" max="1795" width="17.28515625" customWidth="1"/>
    <col min="1796" max="1796" width="12.7109375" customWidth="1"/>
    <col min="1797" max="1797" width="13.140625" customWidth="1"/>
    <col min="2049" max="2049" width="15.42578125" customWidth="1"/>
    <col min="2050" max="2050" width="63.140625" customWidth="1"/>
    <col min="2051" max="2051" width="17.28515625" customWidth="1"/>
    <col min="2052" max="2052" width="12.7109375" customWidth="1"/>
    <col min="2053" max="2053" width="13.140625" customWidth="1"/>
    <col min="2305" max="2305" width="15.42578125" customWidth="1"/>
    <col min="2306" max="2306" width="63.140625" customWidth="1"/>
    <col min="2307" max="2307" width="17.28515625" customWidth="1"/>
    <col min="2308" max="2308" width="12.7109375" customWidth="1"/>
    <col min="2309" max="2309" width="13.140625" customWidth="1"/>
    <col min="2561" max="2561" width="15.42578125" customWidth="1"/>
    <col min="2562" max="2562" width="63.140625" customWidth="1"/>
    <col min="2563" max="2563" width="17.28515625" customWidth="1"/>
    <col min="2564" max="2564" width="12.7109375" customWidth="1"/>
    <col min="2565" max="2565" width="13.140625" customWidth="1"/>
    <col min="2817" max="2817" width="15.42578125" customWidth="1"/>
    <col min="2818" max="2818" width="63.140625" customWidth="1"/>
    <col min="2819" max="2819" width="17.28515625" customWidth="1"/>
    <col min="2820" max="2820" width="12.7109375" customWidth="1"/>
    <col min="2821" max="2821" width="13.140625" customWidth="1"/>
    <col min="3073" max="3073" width="15.42578125" customWidth="1"/>
    <col min="3074" max="3074" width="63.140625" customWidth="1"/>
    <col min="3075" max="3075" width="17.28515625" customWidth="1"/>
    <col min="3076" max="3076" width="12.7109375" customWidth="1"/>
    <col min="3077" max="3077" width="13.140625" customWidth="1"/>
    <col min="3329" max="3329" width="15.42578125" customWidth="1"/>
    <col min="3330" max="3330" width="63.140625" customWidth="1"/>
    <col min="3331" max="3331" width="17.28515625" customWidth="1"/>
    <col min="3332" max="3332" width="12.7109375" customWidth="1"/>
    <col min="3333" max="3333" width="13.140625" customWidth="1"/>
    <col min="3585" max="3585" width="15.42578125" customWidth="1"/>
    <col min="3586" max="3586" width="63.140625" customWidth="1"/>
    <col min="3587" max="3587" width="17.28515625" customWidth="1"/>
    <col min="3588" max="3588" width="12.7109375" customWidth="1"/>
    <col min="3589" max="3589" width="13.140625" customWidth="1"/>
    <col min="3841" max="3841" width="15.42578125" customWidth="1"/>
    <col min="3842" max="3842" width="63.140625" customWidth="1"/>
    <col min="3843" max="3843" width="17.28515625" customWidth="1"/>
    <col min="3844" max="3844" width="12.7109375" customWidth="1"/>
    <col min="3845" max="3845" width="13.140625" customWidth="1"/>
    <col min="4097" max="4097" width="15.42578125" customWidth="1"/>
    <col min="4098" max="4098" width="63.140625" customWidth="1"/>
    <col min="4099" max="4099" width="17.28515625" customWidth="1"/>
    <col min="4100" max="4100" width="12.7109375" customWidth="1"/>
    <col min="4101" max="4101" width="13.140625" customWidth="1"/>
    <col min="4353" max="4353" width="15.42578125" customWidth="1"/>
    <col min="4354" max="4354" width="63.140625" customWidth="1"/>
    <col min="4355" max="4355" width="17.28515625" customWidth="1"/>
    <col min="4356" max="4356" width="12.7109375" customWidth="1"/>
    <col min="4357" max="4357" width="13.140625" customWidth="1"/>
    <col min="4609" max="4609" width="15.42578125" customWidth="1"/>
    <col min="4610" max="4610" width="63.140625" customWidth="1"/>
    <col min="4611" max="4611" width="17.28515625" customWidth="1"/>
    <col min="4612" max="4612" width="12.7109375" customWidth="1"/>
    <col min="4613" max="4613" width="13.140625" customWidth="1"/>
    <col min="4865" max="4865" width="15.42578125" customWidth="1"/>
    <col min="4866" max="4866" width="63.140625" customWidth="1"/>
    <col min="4867" max="4867" width="17.28515625" customWidth="1"/>
    <col min="4868" max="4868" width="12.7109375" customWidth="1"/>
    <col min="4869" max="4869" width="13.140625" customWidth="1"/>
    <col min="5121" max="5121" width="15.42578125" customWidth="1"/>
    <col min="5122" max="5122" width="63.140625" customWidth="1"/>
    <col min="5123" max="5123" width="17.28515625" customWidth="1"/>
    <col min="5124" max="5124" width="12.7109375" customWidth="1"/>
    <col min="5125" max="5125" width="13.140625" customWidth="1"/>
    <col min="5377" max="5377" width="15.42578125" customWidth="1"/>
    <col min="5378" max="5378" width="63.140625" customWidth="1"/>
    <col min="5379" max="5379" width="17.28515625" customWidth="1"/>
    <col min="5380" max="5380" width="12.7109375" customWidth="1"/>
    <col min="5381" max="5381" width="13.140625" customWidth="1"/>
    <col min="5633" max="5633" width="15.42578125" customWidth="1"/>
    <col min="5634" max="5634" width="63.140625" customWidth="1"/>
    <col min="5635" max="5635" width="17.28515625" customWidth="1"/>
    <col min="5636" max="5636" width="12.7109375" customWidth="1"/>
    <col min="5637" max="5637" width="13.140625" customWidth="1"/>
    <col min="5889" max="5889" width="15.42578125" customWidth="1"/>
    <col min="5890" max="5890" width="63.140625" customWidth="1"/>
    <col min="5891" max="5891" width="17.28515625" customWidth="1"/>
    <col min="5892" max="5892" width="12.7109375" customWidth="1"/>
    <col min="5893" max="5893" width="13.140625" customWidth="1"/>
    <col min="6145" max="6145" width="15.42578125" customWidth="1"/>
    <col min="6146" max="6146" width="63.140625" customWidth="1"/>
    <col min="6147" max="6147" width="17.28515625" customWidth="1"/>
    <col min="6148" max="6148" width="12.7109375" customWidth="1"/>
    <col min="6149" max="6149" width="13.140625" customWidth="1"/>
    <col min="6401" max="6401" width="15.42578125" customWidth="1"/>
    <col min="6402" max="6402" width="63.140625" customWidth="1"/>
    <col min="6403" max="6403" width="17.28515625" customWidth="1"/>
    <col min="6404" max="6404" width="12.7109375" customWidth="1"/>
    <col min="6405" max="6405" width="13.140625" customWidth="1"/>
    <col min="6657" max="6657" width="15.42578125" customWidth="1"/>
    <col min="6658" max="6658" width="63.140625" customWidth="1"/>
    <col min="6659" max="6659" width="17.28515625" customWidth="1"/>
    <col min="6660" max="6660" width="12.7109375" customWidth="1"/>
    <col min="6661" max="6661" width="13.140625" customWidth="1"/>
    <col min="6913" max="6913" width="15.42578125" customWidth="1"/>
    <col min="6914" max="6914" width="63.140625" customWidth="1"/>
    <col min="6915" max="6915" width="17.28515625" customWidth="1"/>
    <col min="6916" max="6916" width="12.7109375" customWidth="1"/>
    <col min="6917" max="6917" width="13.140625" customWidth="1"/>
    <col min="7169" max="7169" width="15.42578125" customWidth="1"/>
    <col min="7170" max="7170" width="63.140625" customWidth="1"/>
    <col min="7171" max="7171" width="17.28515625" customWidth="1"/>
    <col min="7172" max="7172" width="12.7109375" customWidth="1"/>
    <col min="7173" max="7173" width="13.140625" customWidth="1"/>
    <col min="7425" max="7425" width="15.42578125" customWidth="1"/>
    <col min="7426" max="7426" width="63.140625" customWidth="1"/>
    <col min="7427" max="7427" width="17.28515625" customWidth="1"/>
    <col min="7428" max="7428" width="12.7109375" customWidth="1"/>
    <col min="7429" max="7429" width="13.140625" customWidth="1"/>
    <col min="7681" max="7681" width="15.42578125" customWidth="1"/>
    <col min="7682" max="7682" width="63.140625" customWidth="1"/>
    <col min="7683" max="7683" width="17.28515625" customWidth="1"/>
    <col min="7684" max="7684" width="12.7109375" customWidth="1"/>
    <col min="7685" max="7685" width="13.140625" customWidth="1"/>
    <col min="7937" max="7937" width="15.42578125" customWidth="1"/>
    <col min="7938" max="7938" width="63.140625" customWidth="1"/>
    <col min="7939" max="7939" width="17.28515625" customWidth="1"/>
    <col min="7940" max="7940" width="12.7109375" customWidth="1"/>
    <col min="7941" max="7941" width="13.140625" customWidth="1"/>
    <col min="8193" max="8193" width="15.42578125" customWidth="1"/>
    <col min="8194" max="8194" width="63.140625" customWidth="1"/>
    <col min="8195" max="8195" width="17.28515625" customWidth="1"/>
    <col min="8196" max="8196" width="12.7109375" customWidth="1"/>
    <col min="8197" max="8197" width="13.140625" customWidth="1"/>
    <col min="8449" max="8449" width="15.42578125" customWidth="1"/>
    <col min="8450" max="8450" width="63.140625" customWidth="1"/>
    <col min="8451" max="8451" width="17.28515625" customWidth="1"/>
    <col min="8452" max="8452" width="12.7109375" customWidth="1"/>
    <col min="8453" max="8453" width="13.140625" customWidth="1"/>
    <col min="8705" max="8705" width="15.42578125" customWidth="1"/>
    <col min="8706" max="8706" width="63.140625" customWidth="1"/>
    <col min="8707" max="8707" width="17.28515625" customWidth="1"/>
    <col min="8708" max="8708" width="12.7109375" customWidth="1"/>
    <col min="8709" max="8709" width="13.140625" customWidth="1"/>
    <col min="8961" max="8961" width="15.42578125" customWidth="1"/>
    <col min="8962" max="8962" width="63.140625" customWidth="1"/>
    <col min="8963" max="8963" width="17.28515625" customWidth="1"/>
    <col min="8964" max="8964" width="12.7109375" customWidth="1"/>
    <col min="8965" max="8965" width="13.140625" customWidth="1"/>
    <col min="9217" max="9217" width="15.42578125" customWidth="1"/>
    <col min="9218" max="9218" width="63.140625" customWidth="1"/>
    <col min="9219" max="9219" width="17.28515625" customWidth="1"/>
    <col min="9220" max="9220" width="12.7109375" customWidth="1"/>
    <col min="9221" max="9221" width="13.140625" customWidth="1"/>
    <col min="9473" max="9473" width="15.42578125" customWidth="1"/>
    <col min="9474" max="9474" width="63.140625" customWidth="1"/>
    <col min="9475" max="9475" width="17.28515625" customWidth="1"/>
    <col min="9476" max="9476" width="12.7109375" customWidth="1"/>
    <col min="9477" max="9477" width="13.140625" customWidth="1"/>
    <col min="9729" max="9729" width="15.42578125" customWidth="1"/>
    <col min="9730" max="9730" width="63.140625" customWidth="1"/>
    <col min="9731" max="9731" width="17.28515625" customWidth="1"/>
    <col min="9732" max="9732" width="12.7109375" customWidth="1"/>
    <col min="9733" max="9733" width="13.140625" customWidth="1"/>
    <col min="9985" max="9985" width="15.42578125" customWidth="1"/>
    <col min="9986" max="9986" width="63.140625" customWidth="1"/>
    <col min="9987" max="9987" width="17.28515625" customWidth="1"/>
    <col min="9988" max="9988" width="12.7109375" customWidth="1"/>
    <col min="9989" max="9989" width="13.140625" customWidth="1"/>
    <col min="10241" max="10241" width="15.42578125" customWidth="1"/>
    <col min="10242" max="10242" width="63.140625" customWidth="1"/>
    <col min="10243" max="10243" width="17.28515625" customWidth="1"/>
    <col min="10244" max="10244" width="12.7109375" customWidth="1"/>
    <col min="10245" max="10245" width="13.140625" customWidth="1"/>
    <col min="10497" max="10497" width="15.42578125" customWidth="1"/>
    <col min="10498" max="10498" width="63.140625" customWidth="1"/>
    <col min="10499" max="10499" width="17.28515625" customWidth="1"/>
    <col min="10500" max="10500" width="12.7109375" customWidth="1"/>
    <col min="10501" max="10501" width="13.140625" customWidth="1"/>
    <col min="10753" max="10753" width="15.42578125" customWidth="1"/>
    <col min="10754" max="10754" width="63.140625" customWidth="1"/>
    <col min="10755" max="10755" width="17.28515625" customWidth="1"/>
    <col min="10756" max="10756" width="12.7109375" customWidth="1"/>
    <col min="10757" max="10757" width="13.140625" customWidth="1"/>
    <col min="11009" max="11009" width="15.42578125" customWidth="1"/>
    <col min="11010" max="11010" width="63.140625" customWidth="1"/>
    <col min="11011" max="11011" width="17.28515625" customWidth="1"/>
    <col min="11012" max="11012" width="12.7109375" customWidth="1"/>
    <col min="11013" max="11013" width="13.140625" customWidth="1"/>
    <col min="11265" max="11265" width="15.42578125" customWidth="1"/>
    <col min="11266" max="11266" width="63.140625" customWidth="1"/>
    <col min="11267" max="11267" width="17.28515625" customWidth="1"/>
    <col min="11268" max="11268" width="12.7109375" customWidth="1"/>
    <col min="11269" max="11269" width="13.140625" customWidth="1"/>
    <col min="11521" max="11521" width="15.42578125" customWidth="1"/>
    <col min="11522" max="11522" width="63.140625" customWidth="1"/>
    <col min="11523" max="11523" width="17.28515625" customWidth="1"/>
    <col min="11524" max="11524" width="12.7109375" customWidth="1"/>
    <col min="11525" max="11525" width="13.140625" customWidth="1"/>
    <col min="11777" max="11777" width="15.42578125" customWidth="1"/>
    <col min="11778" max="11778" width="63.140625" customWidth="1"/>
    <col min="11779" max="11779" width="17.28515625" customWidth="1"/>
    <col min="11780" max="11780" width="12.7109375" customWidth="1"/>
    <col min="11781" max="11781" width="13.140625" customWidth="1"/>
    <col min="12033" max="12033" width="15.42578125" customWidth="1"/>
    <col min="12034" max="12034" width="63.140625" customWidth="1"/>
    <col min="12035" max="12035" width="17.28515625" customWidth="1"/>
    <col min="12036" max="12036" width="12.7109375" customWidth="1"/>
    <col min="12037" max="12037" width="13.140625" customWidth="1"/>
    <col min="12289" max="12289" width="15.42578125" customWidth="1"/>
    <col min="12290" max="12290" width="63.140625" customWidth="1"/>
    <col min="12291" max="12291" width="17.28515625" customWidth="1"/>
    <col min="12292" max="12292" width="12.7109375" customWidth="1"/>
    <col min="12293" max="12293" width="13.140625" customWidth="1"/>
    <col min="12545" max="12545" width="15.42578125" customWidth="1"/>
    <col min="12546" max="12546" width="63.140625" customWidth="1"/>
    <col min="12547" max="12547" width="17.28515625" customWidth="1"/>
    <col min="12548" max="12548" width="12.7109375" customWidth="1"/>
    <col min="12549" max="12549" width="13.140625" customWidth="1"/>
    <col min="12801" max="12801" width="15.42578125" customWidth="1"/>
    <col min="12802" max="12802" width="63.140625" customWidth="1"/>
    <col min="12803" max="12803" width="17.28515625" customWidth="1"/>
    <col min="12804" max="12804" width="12.7109375" customWidth="1"/>
    <col min="12805" max="12805" width="13.140625" customWidth="1"/>
    <col min="13057" max="13057" width="15.42578125" customWidth="1"/>
    <col min="13058" max="13058" width="63.140625" customWidth="1"/>
    <col min="13059" max="13059" width="17.28515625" customWidth="1"/>
    <col min="13060" max="13060" width="12.7109375" customWidth="1"/>
    <col min="13061" max="13061" width="13.140625" customWidth="1"/>
    <col min="13313" max="13313" width="15.42578125" customWidth="1"/>
    <col min="13314" max="13314" width="63.140625" customWidth="1"/>
    <col min="13315" max="13315" width="17.28515625" customWidth="1"/>
    <col min="13316" max="13316" width="12.7109375" customWidth="1"/>
    <col min="13317" max="13317" width="13.140625" customWidth="1"/>
    <col min="13569" max="13569" width="15.42578125" customWidth="1"/>
    <col min="13570" max="13570" width="63.140625" customWidth="1"/>
    <col min="13571" max="13571" width="17.28515625" customWidth="1"/>
    <col min="13572" max="13572" width="12.7109375" customWidth="1"/>
    <col min="13573" max="13573" width="13.140625" customWidth="1"/>
    <col min="13825" max="13825" width="15.42578125" customWidth="1"/>
    <col min="13826" max="13826" width="63.140625" customWidth="1"/>
    <col min="13827" max="13827" width="17.28515625" customWidth="1"/>
    <col min="13828" max="13828" width="12.7109375" customWidth="1"/>
    <col min="13829" max="13829" width="13.140625" customWidth="1"/>
    <col min="14081" max="14081" width="15.42578125" customWidth="1"/>
    <col min="14082" max="14082" width="63.140625" customWidth="1"/>
    <col min="14083" max="14083" width="17.28515625" customWidth="1"/>
    <col min="14084" max="14084" width="12.7109375" customWidth="1"/>
    <col min="14085" max="14085" width="13.140625" customWidth="1"/>
    <col min="14337" max="14337" width="15.42578125" customWidth="1"/>
    <col min="14338" max="14338" width="63.140625" customWidth="1"/>
    <col min="14339" max="14339" width="17.28515625" customWidth="1"/>
    <col min="14340" max="14340" width="12.7109375" customWidth="1"/>
    <col min="14341" max="14341" width="13.140625" customWidth="1"/>
    <col min="14593" max="14593" width="15.42578125" customWidth="1"/>
    <col min="14594" max="14594" width="63.140625" customWidth="1"/>
    <col min="14595" max="14595" width="17.28515625" customWidth="1"/>
    <col min="14596" max="14596" width="12.7109375" customWidth="1"/>
    <col min="14597" max="14597" width="13.140625" customWidth="1"/>
    <col min="14849" max="14849" width="15.42578125" customWidth="1"/>
    <col min="14850" max="14850" width="63.140625" customWidth="1"/>
    <col min="14851" max="14851" width="17.28515625" customWidth="1"/>
    <col min="14852" max="14852" width="12.7109375" customWidth="1"/>
    <col min="14853" max="14853" width="13.140625" customWidth="1"/>
    <col min="15105" max="15105" width="15.42578125" customWidth="1"/>
    <col min="15106" max="15106" width="63.140625" customWidth="1"/>
    <col min="15107" max="15107" width="17.28515625" customWidth="1"/>
    <col min="15108" max="15108" width="12.7109375" customWidth="1"/>
    <col min="15109" max="15109" width="13.140625" customWidth="1"/>
    <col min="15361" max="15361" width="15.42578125" customWidth="1"/>
    <col min="15362" max="15362" width="63.140625" customWidth="1"/>
    <col min="15363" max="15363" width="17.28515625" customWidth="1"/>
    <col min="15364" max="15364" width="12.7109375" customWidth="1"/>
    <col min="15365" max="15365" width="13.140625" customWidth="1"/>
    <col min="15617" max="15617" width="15.42578125" customWidth="1"/>
    <col min="15618" max="15618" width="63.140625" customWidth="1"/>
    <col min="15619" max="15619" width="17.28515625" customWidth="1"/>
    <col min="15620" max="15620" width="12.7109375" customWidth="1"/>
    <col min="15621" max="15621" width="13.140625" customWidth="1"/>
    <col min="15873" max="15873" width="15.42578125" customWidth="1"/>
    <col min="15874" max="15874" width="63.140625" customWidth="1"/>
    <col min="15875" max="15875" width="17.28515625" customWidth="1"/>
    <col min="15876" max="15876" width="12.7109375" customWidth="1"/>
    <col min="15877" max="15877" width="13.140625" customWidth="1"/>
    <col min="16129" max="16129" width="15.42578125" customWidth="1"/>
    <col min="16130" max="16130" width="63.140625" customWidth="1"/>
    <col min="16131" max="16131" width="17.28515625" customWidth="1"/>
    <col min="16132" max="16132" width="12.7109375" customWidth="1"/>
    <col min="16133" max="16133" width="13.140625" customWidth="1"/>
  </cols>
  <sheetData>
    <row r="6" spans="1:5" ht="15.75" thickBot="1"/>
    <row r="7" spans="1:5" ht="44.25" customHeight="1" thickBot="1">
      <c r="A7" s="57" t="s">
        <v>46</v>
      </c>
      <c r="B7" s="58" t="s">
        <v>4</v>
      </c>
      <c r="C7" s="59" t="s">
        <v>47</v>
      </c>
      <c r="D7" s="60" t="s">
        <v>48</v>
      </c>
      <c r="E7" s="60" t="s">
        <v>49</v>
      </c>
    </row>
    <row r="8" spans="1:5" ht="15" customHeight="1">
      <c r="A8" s="116" t="s">
        <v>50</v>
      </c>
      <c r="B8" s="61" t="s">
        <v>51</v>
      </c>
      <c r="C8" s="62">
        <v>1</v>
      </c>
      <c r="D8" s="63">
        <v>550</v>
      </c>
      <c r="E8" s="63">
        <f t="shared" ref="E8:E71" si="0">C8*D8</f>
        <v>550</v>
      </c>
    </row>
    <row r="9" spans="1:5" ht="15" customHeight="1">
      <c r="A9" s="117"/>
      <c r="B9" s="64" t="s">
        <v>52</v>
      </c>
      <c r="C9" s="65">
        <v>1</v>
      </c>
      <c r="D9" s="66">
        <v>550</v>
      </c>
      <c r="E9" s="66">
        <f t="shared" si="0"/>
        <v>550</v>
      </c>
    </row>
    <row r="10" spans="1:5" ht="15" customHeight="1">
      <c r="A10" s="117"/>
      <c r="B10" s="64" t="s">
        <v>53</v>
      </c>
      <c r="C10" s="65">
        <v>1</v>
      </c>
      <c r="D10" s="66">
        <v>550</v>
      </c>
      <c r="E10" s="66">
        <f t="shared" si="0"/>
        <v>550</v>
      </c>
    </row>
    <row r="11" spans="1:5" ht="15" customHeight="1">
      <c r="A11" s="117"/>
      <c r="B11" s="64" t="s">
        <v>8</v>
      </c>
      <c r="C11" s="65">
        <v>1</v>
      </c>
      <c r="D11" s="66">
        <v>550</v>
      </c>
      <c r="E11" s="66">
        <f t="shared" si="0"/>
        <v>550</v>
      </c>
    </row>
    <row r="12" spans="1:5" ht="15" customHeight="1" thickBot="1">
      <c r="A12" s="118"/>
      <c r="B12" s="67" t="s">
        <v>54</v>
      </c>
      <c r="C12" s="68">
        <v>1</v>
      </c>
      <c r="D12" s="69">
        <v>550</v>
      </c>
      <c r="E12" s="69">
        <f t="shared" si="0"/>
        <v>550</v>
      </c>
    </row>
    <row r="13" spans="1:5" ht="15" customHeight="1">
      <c r="A13" s="116" t="s">
        <v>55</v>
      </c>
      <c r="B13" s="70" t="s">
        <v>51</v>
      </c>
      <c r="C13" s="62">
        <v>1</v>
      </c>
      <c r="D13" s="71">
        <v>250</v>
      </c>
      <c r="E13" s="71">
        <f t="shared" si="0"/>
        <v>250</v>
      </c>
    </row>
    <row r="14" spans="1:5" ht="15" customHeight="1">
      <c r="A14" s="117"/>
      <c r="B14" s="72" t="s">
        <v>56</v>
      </c>
      <c r="C14" s="65">
        <v>1</v>
      </c>
      <c r="D14" s="73">
        <v>250</v>
      </c>
      <c r="E14" s="73">
        <f t="shared" si="0"/>
        <v>250</v>
      </c>
    </row>
    <row r="15" spans="1:5" ht="15" customHeight="1">
      <c r="A15" s="117"/>
      <c r="B15" s="72" t="s">
        <v>53</v>
      </c>
      <c r="C15" s="65">
        <v>1</v>
      </c>
      <c r="D15" s="73">
        <v>250</v>
      </c>
      <c r="E15" s="73">
        <f t="shared" si="0"/>
        <v>250</v>
      </c>
    </row>
    <row r="16" spans="1:5" ht="15" customHeight="1" thickBot="1">
      <c r="A16" s="118"/>
      <c r="B16" s="74" t="s">
        <v>8</v>
      </c>
      <c r="C16" s="68">
        <v>1</v>
      </c>
      <c r="D16" s="75">
        <v>250</v>
      </c>
      <c r="E16" s="75">
        <f t="shared" si="0"/>
        <v>250</v>
      </c>
    </row>
    <row r="17" spans="1:5" ht="15" customHeight="1">
      <c r="A17" s="116" t="s">
        <v>57</v>
      </c>
      <c r="B17" s="61" t="s">
        <v>51</v>
      </c>
      <c r="C17" s="62">
        <v>1</v>
      </c>
      <c r="D17" s="71">
        <v>250</v>
      </c>
      <c r="E17" s="71">
        <f t="shared" si="0"/>
        <v>250</v>
      </c>
    </row>
    <row r="18" spans="1:5" ht="15" customHeight="1">
      <c r="A18" s="117"/>
      <c r="B18" s="64" t="s">
        <v>56</v>
      </c>
      <c r="C18" s="65">
        <v>1</v>
      </c>
      <c r="D18" s="73">
        <v>250</v>
      </c>
      <c r="E18" s="73">
        <f t="shared" si="0"/>
        <v>250</v>
      </c>
    </row>
    <row r="19" spans="1:5" ht="15" customHeight="1">
      <c r="A19" s="117"/>
      <c r="B19" s="64" t="s">
        <v>53</v>
      </c>
      <c r="C19" s="65">
        <v>1</v>
      </c>
      <c r="D19" s="73">
        <v>250</v>
      </c>
      <c r="E19" s="73">
        <f t="shared" si="0"/>
        <v>250</v>
      </c>
    </row>
    <row r="20" spans="1:5" ht="15" customHeight="1" thickBot="1">
      <c r="A20" s="118"/>
      <c r="B20" s="67" t="s">
        <v>8</v>
      </c>
      <c r="C20" s="68">
        <v>1</v>
      </c>
      <c r="D20" s="75">
        <v>250</v>
      </c>
      <c r="E20" s="75">
        <f t="shared" si="0"/>
        <v>250</v>
      </c>
    </row>
    <row r="21" spans="1:5" ht="15" customHeight="1">
      <c r="A21" s="116" t="s">
        <v>58</v>
      </c>
      <c r="B21" s="61" t="s">
        <v>51</v>
      </c>
      <c r="C21" s="62">
        <v>1</v>
      </c>
      <c r="D21" s="71">
        <v>250</v>
      </c>
      <c r="E21" s="71">
        <f t="shared" si="0"/>
        <v>250</v>
      </c>
    </row>
    <row r="22" spans="1:5" ht="15" customHeight="1">
      <c r="A22" s="117"/>
      <c r="B22" s="64" t="s">
        <v>52</v>
      </c>
      <c r="C22" s="65">
        <v>1</v>
      </c>
      <c r="D22" s="73">
        <v>250</v>
      </c>
      <c r="E22" s="73">
        <f t="shared" si="0"/>
        <v>250</v>
      </c>
    </row>
    <row r="23" spans="1:5" ht="15" customHeight="1">
      <c r="A23" s="117"/>
      <c r="B23" s="64" t="s">
        <v>53</v>
      </c>
      <c r="C23" s="65">
        <v>1</v>
      </c>
      <c r="D23" s="73">
        <v>250</v>
      </c>
      <c r="E23" s="73">
        <f t="shared" si="0"/>
        <v>250</v>
      </c>
    </row>
    <row r="24" spans="1:5" ht="15" customHeight="1" thickBot="1">
      <c r="A24" s="118"/>
      <c r="B24" s="67" t="s">
        <v>8</v>
      </c>
      <c r="C24" s="68">
        <v>1</v>
      </c>
      <c r="D24" s="75">
        <v>250</v>
      </c>
      <c r="E24" s="75">
        <f t="shared" si="0"/>
        <v>250</v>
      </c>
    </row>
    <row r="25" spans="1:5" ht="15" customHeight="1">
      <c r="A25" s="116" t="s">
        <v>59</v>
      </c>
      <c r="B25" s="61" t="s">
        <v>51</v>
      </c>
      <c r="C25" s="62">
        <v>1</v>
      </c>
      <c r="D25" s="71">
        <v>250</v>
      </c>
      <c r="E25" s="71">
        <f t="shared" si="0"/>
        <v>250</v>
      </c>
    </row>
    <row r="26" spans="1:5" ht="15" customHeight="1">
      <c r="A26" s="117"/>
      <c r="B26" s="64" t="s">
        <v>52</v>
      </c>
      <c r="C26" s="65">
        <v>1</v>
      </c>
      <c r="D26" s="73">
        <v>250</v>
      </c>
      <c r="E26" s="73">
        <f t="shared" si="0"/>
        <v>250</v>
      </c>
    </row>
    <row r="27" spans="1:5" ht="15" customHeight="1">
      <c r="A27" s="117"/>
      <c r="B27" s="64" t="s">
        <v>53</v>
      </c>
      <c r="C27" s="65">
        <v>1</v>
      </c>
      <c r="D27" s="73">
        <v>250</v>
      </c>
      <c r="E27" s="73">
        <f t="shared" si="0"/>
        <v>250</v>
      </c>
    </row>
    <row r="28" spans="1:5" ht="15" customHeight="1" thickBot="1">
      <c r="A28" s="118"/>
      <c r="B28" s="67" t="s">
        <v>8</v>
      </c>
      <c r="C28" s="68">
        <v>1</v>
      </c>
      <c r="D28" s="75">
        <v>250</v>
      </c>
      <c r="E28" s="75">
        <f t="shared" si="0"/>
        <v>250</v>
      </c>
    </row>
    <row r="29" spans="1:5" ht="15" customHeight="1">
      <c r="A29" s="116" t="s">
        <v>60</v>
      </c>
      <c r="B29" s="61" t="s">
        <v>51</v>
      </c>
      <c r="C29" s="62">
        <v>1</v>
      </c>
      <c r="D29" s="71">
        <v>250</v>
      </c>
      <c r="E29" s="71">
        <f t="shared" si="0"/>
        <v>250</v>
      </c>
    </row>
    <row r="30" spans="1:5" ht="15" customHeight="1">
      <c r="A30" s="117"/>
      <c r="B30" s="64" t="s">
        <v>52</v>
      </c>
      <c r="C30" s="65">
        <v>1</v>
      </c>
      <c r="D30" s="73">
        <v>250</v>
      </c>
      <c r="E30" s="73">
        <f t="shared" si="0"/>
        <v>250</v>
      </c>
    </row>
    <row r="31" spans="1:5" ht="15" customHeight="1">
      <c r="A31" s="117"/>
      <c r="B31" s="64" t="s">
        <v>53</v>
      </c>
      <c r="C31" s="65">
        <v>1</v>
      </c>
      <c r="D31" s="73">
        <v>250</v>
      </c>
      <c r="E31" s="73">
        <f t="shared" si="0"/>
        <v>250</v>
      </c>
    </row>
    <row r="32" spans="1:5" ht="15" customHeight="1" thickBot="1">
      <c r="A32" s="118"/>
      <c r="B32" s="67" t="s">
        <v>8</v>
      </c>
      <c r="C32" s="68">
        <v>1</v>
      </c>
      <c r="D32" s="75">
        <v>250</v>
      </c>
      <c r="E32" s="75">
        <f t="shared" si="0"/>
        <v>250</v>
      </c>
    </row>
    <row r="33" spans="1:5" ht="15" customHeight="1">
      <c r="A33" s="116" t="s">
        <v>61</v>
      </c>
      <c r="B33" s="76" t="s">
        <v>51</v>
      </c>
      <c r="C33" s="77">
        <v>0.5</v>
      </c>
      <c r="D33" s="71">
        <v>250</v>
      </c>
      <c r="E33" s="71">
        <f t="shared" si="0"/>
        <v>125</v>
      </c>
    </row>
    <row r="34" spans="1:5" ht="15" customHeight="1">
      <c r="A34" s="117"/>
      <c r="B34" s="78" t="s">
        <v>52</v>
      </c>
      <c r="C34" s="65">
        <v>1</v>
      </c>
      <c r="D34" s="73">
        <v>250</v>
      </c>
      <c r="E34" s="73">
        <f t="shared" si="0"/>
        <v>250</v>
      </c>
    </row>
    <row r="35" spans="1:5" ht="15" customHeight="1">
      <c r="A35" s="117"/>
      <c r="B35" s="78" t="s">
        <v>53</v>
      </c>
      <c r="C35" s="65">
        <v>1</v>
      </c>
      <c r="D35" s="73">
        <v>250</v>
      </c>
      <c r="E35" s="73">
        <f t="shared" si="0"/>
        <v>250</v>
      </c>
    </row>
    <row r="36" spans="1:5" ht="15" customHeight="1" thickBot="1">
      <c r="A36" s="118"/>
      <c r="B36" s="79" t="s">
        <v>8</v>
      </c>
      <c r="C36" s="68">
        <v>1</v>
      </c>
      <c r="D36" s="75">
        <v>250</v>
      </c>
      <c r="E36" s="75">
        <f t="shared" si="0"/>
        <v>250</v>
      </c>
    </row>
    <row r="37" spans="1:5" ht="15" customHeight="1">
      <c r="A37" s="116" t="s">
        <v>62</v>
      </c>
      <c r="B37" s="76" t="s">
        <v>51</v>
      </c>
      <c r="C37" s="62">
        <v>1</v>
      </c>
      <c r="D37" s="71">
        <v>250</v>
      </c>
      <c r="E37" s="71">
        <f t="shared" si="0"/>
        <v>250</v>
      </c>
    </row>
    <row r="38" spans="1:5" ht="15" customHeight="1">
      <c r="A38" s="117"/>
      <c r="B38" s="78" t="s">
        <v>52</v>
      </c>
      <c r="C38" s="65">
        <v>1</v>
      </c>
      <c r="D38" s="73">
        <v>250</v>
      </c>
      <c r="E38" s="73">
        <f t="shared" si="0"/>
        <v>250</v>
      </c>
    </row>
    <row r="39" spans="1:5" ht="15" customHeight="1">
      <c r="A39" s="117"/>
      <c r="B39" s="78" t="s">
        <v>53</v>
      </c>
      <c r="C39" s="65">
        <v>1</v>
      </c>
      <c r="D39" s="73">
        <v>250</v>
      </c>
      <c r="E39" s="73">
        <f t="shared" si="0"/>
        <v>250</v>
      </c>
    </row>
    <row r="40" spans="1:5" ht="15" customHeight="1" thickBot="1">
      <c r="A40" s="118"/>
      <c r="B40" s="79" t="s">
        <v>8</v>
      </c>
      <c r="C40" s="68">
        <v>1</v>
      </c>
      <c r="D40" s="75">
        <v>250</v>
      </c>
      <c r="E40" s="75">
        <f t="shared" si="0"/>
        <v>250</v>
      </c>
    </row>
    <row r="41" spans="1:5" ht="15" customHeight="1">
      <c r="A41" s="116" t="s">
        <v>63</v>
      </c>
      <c r="B41" s="76" t="s">
        <v>51</v>
      </c>
      <c r="C41" s="62">
        <v>1</v>
      </c>
      <c r="D41" s="71">
        <v>250</v>
      </c>
      <c r="E41" s="71">
        <f t="shared" si="0"/>
        <v>250</v>
      </c>
    </row>
    <row r="42" spans="1:5" ht="15" customHeight="1">
      <c r="A42" s="117"/>
      <c r="B42" s="78" t="s">
        <v>52</v>
      </c>
      <c r="C42" s="65">
        <v>1</v>
      </c>
      <c r="D42" s="73">
        <v>250</v>
      </c>
      <c r="E42" s="73">
        <f t="shared" si="0"/>
        <v>250</v>
      </c>
    </row>
    <row r="43" spans="1:5" ht="15" customHeight="1">
      <c r="A43" s="117"/>
      <c r="B43" s="78" t="s">
        <v>53</v>
      </c>
      <c r="C43" s="65">
        <v>1</v>
      </c>
      <c r="D43" s="73">
        <v>250</v>
      </c>
      <c r="E43" s="73">
        <f t="shared" si="0"/>
        <v>250</v>
      </c>
    </row>
    <row r="44" spans="1:5" ht="15" customHeight="1" thickBot="1">
      <c r="A44" s="118"/>
      <c r="B44" s="79" t="s">
        <v>8</v>
      </c>
      <c r="C44" s="68">
        <v>1</v>
      </c>
      <c r="D44" s="75">
        <v>250</v>
      </c>
      <c r="E44" s="75">
        <f t="shared" si="0"/>
        <v>250</v>
      </c>
    </row>
    <row r="45" spans="1:5" ht="15" customHeight="1">
      <c r="A45" s="116" t="s">
        <v>64</v>
      </c>
      <c r="B45" s="70" t="s">
        <v>51</v>
      </c>
      <c r="C45" s="62">
        <v>1</v>
      </c>
      <c r="D45" s="71">
        <v>250</v>
      </c>
      <c r="E45" s="71">
        <f t="shared" si="0"/>
        <v>250</v>
      </c>
    </row>
    <row r="46" spans="1:5" ht="15" customHeight="1">
      <c r="A46" s="117"/>
      <c r="B46" s="72" t="s">
        <v>52</v>
      </c>
      <c r="C46" s="65">
        <v>1</v>
      </c>
      <c r="D46" s="73">
        <v>250</v>
      </c>
      <c r="E46" s="73">
        <f t="shared" si="0"/>
        <v>250</v>
      </c>
    </row>
    <row r="47" spans="1:5" ht="15" customHeight="1">
      <c r="A47" s="117"/>
      <c r="B47" s="72" t="s">
        <v>53</v>
      </c>
      <c r="C47" s="65">
        <v>1</v>
      </c>
      <c r="D47" s="73">
        <v>250</v>
      </c>
      <c r="E47" s="73">
        <f t="shared" si="0"/>
        <v>250</v>
      </c>
    </row>
    <row r="48" spans="1:5" ht="15" customHeight="1" thickBot="1">
      <c r="A48" s="118"/>
      <c r="B48" s="74" t="s">
        <v>8</v>
      </c>
      <c r="C48" s="68">
        <v>1</v>
      </c>
      <c r="D48" s="75">
        <v>250</v>
      </c>
      <c r="E48" s="75">
        <f t="shared" si="0"/>
        <v>250</v>
      </c>
    </row>
    <row r="49" spans="1:5" ht="15" customHeight="1">
      <c r="A49" s="116" t="s">
        <v>65</v>
      </c>
      <c r="B49" s="80" t="s">
        <v>51</v>
      </c>
      <c r="C49" s="62">
        <v>1</v>
      </c>
      <c r="D49" s="71">
        <v>250</v>
      </c>
      <c r="E49" s="71">
        <f t="shared" si="0"/>
        <v>250</v>
      </c>
    </row>
    <row r="50" spans="1:5" ht="15" customHeight="1">
      <c r="A50" s="117"/>
      <c r="B50" s="72" t="s">
        <v>52</v>
      </c>
      <c r="C50" s="65">
        <v>1</v>
      </c>
      <c r="D50" s="73">
        <v>250</v>
      </c>
      <c r="E50" s="73">
        <f t="shared" si="0"/>
        <v>250</v>
      </c>
    </row>
    <row r="51" spans="1:5" ht="15" customHeight="1">
      <c r="A51" s="117"/>
      <c r="B51" s="72" t="s">
        <v>53</v>
      </c>
      <c r="C51" s="65">
        <v>1</v>
      </c>
      <c r="D51" s="73">
        <v>250</v>
      </c>
      <c r="E51" s="73">
        <f t="shared" si="0"/>
        <v>250</v>
      </c>
    </row>
    <row r="52" spans="1:5" ht="15" customHeight="1" thickBot="1">
      <c r="A52" s="118"/>
      <c r="B52" s="74" t="s">
        <v>8</v>
      </c>
      <c r="C52" s="68">
        <v>1</v>
      </c>
      <c r="D52" s="75">
        <v>250</v>
      </c>
      <c r="E52" s="75">
        <f t="shared" si="0"/>
        <v>250</v>
      </c>
    </row>
    <row r="53" spans="1:5" ht="15" customHeight="1">
      <c r="A53" s="116" t="s">
        <v>66</v>
      </c>
      <c r="B53" s="80" t="s">
        <v>51</v>
      </c>
      <c r="C53" s="62">
        <v>1</v>
      </c>
      <c r="D53" s="71">
        <v>250</v>
      </c>
      <c r="E53" s="71">
        <f t="shared" si="0"/>
        <v>250</v>
      </c>
    </row>
    <row r="54" spans="1:5" ht="15" customHeight="1">
      <c r="A54" s="117"/>
      <c r="B54" s="72" t="s">
        <v>52</v>
      </c>
      <c r="C54" s="65">
        <v>1</v>
      </c>
      <c r="D54" s="73">
        <v>250</v>
      </c>
      <c r="E54" s="73">
        <f t="shared" si="0"/>
        <v>250</v>
      </c>
    </row>
    <row r="55" spans="1:5" ht="15" customHeight="1">
      <c r="A55" s="117"/>
      <c r="B55" s="72" t="s">
        <v>53</v>
      </c>
      <c r="C55" s="65">
        <v>1</v>
      </c>
      <c r="D55" s="73">
        <v>250</v>
      </c>
      <c r="E55" s="73">
        <f t="shared" si="0"/>
        <v>250</v>
      </c>
    </row>
    <row r="56" spans="1:5" ht="15" customHeight="1" thickBot="1">
      <c r="A56" s="118"/>
      <c r="B56" s="74" t="s">
        <v>8</v>
      </c>
      <c r="C56" s="68">
        <v>1</v>
      </c>
      <c r="D56" s="75">
        <v>250</v>
      </c>
      <c r="E56" s="75">
        <f t="shared" si="0"/>
        <v>250</v>
      </c>
    </row>
    <row r="57" spans="1:5" ht="15" customHeight="1">
      <c r="A57" s="116" t="s">
        <v>67</v>
      </c>
      <c r="B57" s="70" t="s">
        <v>51</v>
      </c>
      <c r="C57" s="62">
        <v>1</v>
      </c>
      <c r="D57" s="71">
        <v>250</v>
      </c>
      <c r="E57" s="71">
        <f t="shared" si="0"/>
        <v>250</v>
      </c>
    </row>
    <row r="58" spans="1:5" ht="15" customHeight="1">
      <c r="A58" s="117"/>
      <c r="B58" s="72" t="s">
        <v>52</v>
      </c>
      <c r="C58" s="65">
        <v>1</v>
      </c>
      <c r="D58" s="73">
        <v>250</v>
      </c>
      <c r="E58" s="73">
        <f t="shared" si="0"/>
        <v>250</v>
      </c>
    </row>
    <row r="59" spans="1:5" ht="15" customHeight="1">
      <c r="A59" s="117"/>
      <c r="B59" s="72" t="s">
        <v>53</v>
      </c>
      <c r="C59" s="65">
        <v>1</v>
      </c>
      <c r="D59" s="73">
        <v>250</v>
      </c>
      <c r="E59" s="73">
        <f t="shared" si="0"/>
        <v>250</v>
      </c>
    </row>
    <row r="60" spans="1:5" ht="15" customHeight="1" thickBot="1">
      <c r="A60" s="118"/>
      <c r="B60" s="74" t="s">
        <v>8</v>
      </c>
      <c r="C60" s="68">
        <v>1</v>
      </c>
      <c r="D60" s="75">
        <v>250</v>
      </c>
      <c r="E60" s="75">
        <f t="shared" si="0"/>
        <v>250</v>
      </c>
    </row>
    <row r="61" spans="1:5" ht="15" customHeight="1">
      <c r="A61" s="116" t="s">
        <v>68</v>
      </c>
      <c r="B61" s="61" t="s">
        <v>51</v>
      </c>
      <c r="C61" s="62">
        <v>1</v>
      </c>
      <c r="D61" s="71">
        <v>250</v>
      </c>
      <c r="E61" s="71">
        <f t="shared" si="0"/>
        <v>250</v>
      </c>
    </row>
    <row r="62" spans="1:5" ht="15" customHeight="1">
      <c r="A62" s="117"/>
      <c r="B62" s="64" t="s">
        <v>52</v>
      </c>
      <c r="C62" s="65">
        <v>1</v>
      </c>
      <c r="D62" s="73">
        <v>250</v>
      </c>
      <c r="E62" s="73">
        <f t="shared" si="0"/>
        <v>250</v>
      </c>
    </row>
    <row r="63" spans="1:5" ht="15" customHeight="1">
      <c r="A63" s="117"/>
      <c r="B63" s="64" t="s">
        <v>53</v>
      </c>
      <c r="C63" s="65">
        <v>1</v>
      </c>
      <c r="D63" s="73">
        <v>250</v>
      </c>
      <c r="E63" s="73">
        <f t="shared" si="0"/>
        <v>250</v>
      </c>
    </row>
    <row r="64" spans="1:5" ht="15" customHeight="1" thickBot="1">
      <c r="A64" s="118"/>
      <c r="B64" s="67" t="s">
        <v>8</v>
      </c>
      <c r="C64" s="68">
        <v>1</v>
      </c>
      <c r="D64" s="75">
        <v>250</v>
      </c>
      <c r="E64" s="75">
        <f t="shared" si="0"/>
        <v>250</v>
      </c>
    </row>
    <row r="65" spans="1:5" ht="15" customHeight="1">
      <c r="A65" s="116" t="s">
        <v>69</v>
      </c>
      <c r="B65" s="70" t="s">
        <v>51</v>
      </c>
      <c r="C65" s="62">
        <v>1</v>
      </c>
      <c r="D65" s="71">
        <v>250</v>
      </c>
      <c r="E65" s="71">
        <f t="shared" si="0"/>
        <v>250</v>
      </c>
    </row>
    <row r="66" spans="1:5" ht="15" customHeight="1">
      <c r="A66" s="117"/>
      <c r="B66" s="72" t="s">
        <v>52</v>
      </c>
      <c r="C66" s="65">
        <v>1</v>
      </c>
      <c r="D66" s="73">
        <v>250</v>
      </c>
      <c r="E66" s="73">
        <f t="shared" si="0"/>
        <v>250</v>
      </c>
    </row>
    <row r="67" spans="1:5" ht="15" customHeight="1">
      <c r="A67" s="117"/>
      <c r="B67" s="72" t="s">
        <v>53</v>
      </c>
      <c r="C67" s="65">
        <v>1</v>
      </c>
      <c r="D67" s="73">
        <v>250</v>
      </c>
      <c r="E67" s="73">
        <f t="shared" si="0"/>
        <v>250</v>
      </c>
    </row>
    <row r="68" spans="1:5" ht="15" customHeight="1" thickBot="1">
      <c r="A68" s="118"/>
      <c r="B68" s="74" t="s">
        <v>8</v>
      </c>
      <c r="C68" s="68">
        <v>1</v>
      </c>
      <c r="D68" s="75">
        <v>250</v>
      </c>
      <c r="E68" s="75">
        <f t="shared" si="0"/>
        <v>250</v>
      </c>
    </row>
    <row r="69" spans="1:5" ht="15" customHeight="1">
      <c r="A69" s="116" t="s">
        <v>30</v>
      </c>
      <c r="B69" s="76" t="s">
        <v>51</v>
      </c>
      <c r="C69" s="62">
        <v>1</v>
      </c>
      <c r="D69" s="71">
        <v>250</v>
      </c>
      <c r="E69" s="71">
        <f t="shared" si="0"/>
        <v>250</v>
      </c>
    </row>
    <row r="70" spans="1:5" ht="15" customHeight="1">
      <c r="A70" s="117"/>
      <c r="B70" s="78" t="s">
        <v>52</v>
      </c>
      <c r="C70" s="65">
        <v>1</v>
      </c>
      <c r="D70" s="73">
        <v>250</v>
      </c>
      <c r="E70" s="73">
        <f t="shared" si="0"/>
        <v>250</v>
      </c>
    </row>
    <row r="71" spans="1:5" ht="15" customHeight="1">
      <c r="A71" s="117"/>
      <c r="B71" s="78" t="s">
        <v>53</v>
      </c>
      <c r="C71" s="65">
        <v>1</v>
      </c>
      <c r="D71" s="73">
        <v>250</v>
      </c>
      <c r="E71" s="73">
        <f t="shared" si="0"/>
        <v>250</v>
      </c>
    </row>
    <row r="72" spans="1:5" ht="15" customHeight="1" thickBot="1">
      <c r="A72" s="118"/>
      <c r="B72" s="79" t="s">
        <v>8</v>
      </c>
      <c r="C72" s="68">
        <v>1</v>
      </c>
      <c r="D72" s="75">
        <v>250</v>
      </c>
      <c r="E72" s="75">
        <f t="shared" ref="E72:E88" si="1">C72*D72</f>
        <v>250</v>
      </c>
    </row>
    <row r="73" spans="1:5" ht="15" customHeight="1">
      <c r="A73" s="116" t="s">
        <v>70</v>
      </c>
      <c r="B73" s="76" t="s">
        <v>51</v>
      </c>
      <c r="C73" s="77">
        <v>0.5</v>
      </c>
      <c r="D73" s="71">
        <v>250</v>
      </c>
      <c r="E73" s="71">
        <f t="shared" si="1"/>
        <v>125</v>
      </c>
    </row>
    <row r="74" spans="1:5" ht="15" customHeight="1">
      <c r="A74" s="117"/>
      <c r="B74" s="78" t="s">
        <v>52</v>
      </c>
      <c r="C74" s="65">
        <v>1</v>
      </c>
      <c r="D74" s="73">
        <v>250</v>
      </c>
      <c r="E74" s="73">
        <f t="shared" si="1"/>
        <v>250</v>
      </c>
    </row>
    <row r="75" spans="1:5" ht="15" customHeight="1">
      <c r="A75" s="117"/>
      <c r="B75" s="78" t="s">
        <v>53</v>
      </c>
      <c r="C75" s="65">
        <v>1</v>
      </c>
      <c r="D75" s="73">
        <v>250</v>
      </c>
      <c r="E75" s="73">
        <f t="shared" si="1"/>
        <v>250</v>
      </c>
    </row>
    <row r="76" spans="1:5" ht="15" customHeight="1" thickBot="1">
      <c r="A76" s="118"/>
      <c r="B76" s="79" t="s">
        <v>8</v>
      </c>
      <c r="C76" s="68">
        <v>1</v>
      </c>
      <c r="D76" s="75">
        <v>250</v>
      </c>
      <c r="E76" s="75">
        <f t="shared" si="1"/>
        <v>250</v>
      </c>
    </row>
    <row r="77" spans="1:5" ht="15" customHeight="1">
      <c r="A77" s="116" t="s">
        <v>43</v>
      </c>
      <c r="B77" s="61" t="s">
        <v>51</v>
      </c>
      <c r="C77" s="62">
        <v>1</v>
      </c>
      <c r="D77" s="71">
        <v>250</v>
      </c>
      <c r="E77" s="71">
        <f t="shared" si="1"/>
        <v>250</v>
      </c>
    </row>
    <row r="78" spans="1:5" ht="15" customHeight="1">
      <c r="A78" s="117"/>
      <c r="B78" s="64" t="s">
        <v>52</v>
      </c>
      <c r="C78" s="65">
        <v>1</v>
      </c>
      <c r="D78" s="73">
        <v>250</v>
      </c>
      <c r="E78" s="73">
        <f t="shared" si="1"/>
        <v>250</v>
      </c>
    </row>
    <row r="79" spans="1:5" ht="15" customHeight="1">
      <c r="A79" s="117"/>
      <c r="B79" s="64" t="s">
        <v>53</v>
      </c>
      <c r="C79" s="65">
        <v>1</v>
      </c>
      <c r="D79" s="73">
        <v>250</v>
      </c>
      <c r="E79" s="73">
        <f t="shared" si="1"/>
        <v>250</v>
      </c>
    </row>
    <row r="80" spans="1:5" ht="15" customHeight="1" thickBot="1">
      <c r="A80" s="118"/>
      <c r="B80" s="67" t="s">
        <v>8</v>
      </c>
      <c r="C80" s="68">
        <v>1</v>
      </c>
      <c r="D80" s="75">
        <v>250</v>
      </c>
      <c r="E80" s="75">
        <f t="shared" si="1"/>
        <v>250</v>
      </c>
    </row>
    <row r="81" spans="1:5" ht="15" customHeight="1">
      <c r="A81" s="119" t="s">
        <v>44</v>
      </c>
      <c r="B81" s="81" t="s">
        <v>51</v>
      </c>
      <c r="C81" s="62">
        <v>1</v>
      </c>
      <c r="D81" s="71">
        <v>250</v>
      </c>
      <c r="E81" s="71">
        <f t="shared" si="1"/>
        <v>250</v>
      </c>
    </row>
    <row r="82" spans="1:5" ht="15" customHeight="1">
      <c r="A82" s="120"/>
      <c r="B82" s="82" t="s">
        <v>52</v>
      </c>
      <c r="C82" s="65">
        <v>1</v>
      </c>
      <c r="D82" s="73">
        <v>250</v>
      </c>
      <c r="E82" s="73">
        <f t="shared" si="1"/>
        <v>250</v>
      </c>
    </row>
    <row r="83" spans="1:5" ht="15" customHeight="1">
      <c r="A83" s="120"/>
      <c r="B83" s="82" t="s">
        <v>53</v>
      </c>
      <c r="C83" s="65">
        <v>1</v>
      </c>
      <c r="D83" s="73">
        <v>250</v>
      </c>
      <c r="E83" s="73">
        <f t="shared" si="1"/>
        <v>250</v>
      </c>
    </row>
    <row r="84" spans="1:5" ht="15" customHeight="1" thickBot="1">
      <c r="A84" s="121"/>
      <c r="B84" s="83" t="s">
        <v>8</v>
      </c>
      <c r="C84" s="68">
        <v>1</v>
      </c>
      <c r="D84" s="75">
        <v>250</v>
      </c>
      <c r="E84" s="75">
        <f t="shared" si="1"/>
        <v>250</v>
      </c>
    </row>
    <row r="85" spans="1:5" ht="15" customHeight="1">
      <c r="A85" s="116" t="s">
        <v>71</v>
      </c>
      <c r="B85" s="61" t="s">
        <v>51</v>
      </c>
      <c r="C85" s="62">
        <v>1</v>
      </c>
      <c r="D85" s="71">
        <v>250</v>
      </c>
      <c r="E85" s="71">
        <f t="shared" si="1"/>
        <v>250</v>
      </c>
    </row>
    <row r="86" spans="1:5" ht="15" customHeight="1">
      <c r="A86" s="117"/>
      <c r="B86" s="64" t="s">
        <v>52</v>
      </c>
      <c r="C86" s="65">
        <v>1</v>
      </c>
      <c r="D86" s="73">
        <v>250</v>
      </c>
      <c r="E86" s="73">
        <f t="shared" si="1"/>
        <v>250</v>
      </c>
    </row>
    <row r="87" spans="1:5" ht="15" customHeight="1">
      <c r="A87" s="117"/>
      <c r="B87" s="64" t="s">
        <v>53</v>
      </c>
      <c r="C87" s="65">
        <v>1</v>
      </c>
      <c r="D87" s="73">
        <v>250</v>
      </c>
      <c r="E87" s="73">
        <f t="shared" si="1"/>
        <v>250</v>
      </c>
    </row>
    <row r="88" spans="1:5" ht="15" customHeight="1" thickBot="1">
      <c r="A88" s="118"/>
      <c r="B88" s="67" t="s">
        <v>8</v>
      </c>
      <c r="C88" s="68">
        <v>1</v>
      </c>
      <c r="D88" s="75">
        <v>250</v>
      </c>
      <c r="E88" s="75">
        <f t="shared" si="1"/>
        <v>250</v>
      </c>
    </row>
    <row r="89" spans="1:5" ht="18.75">
      <c r="A89" s="84"/>
      <c r="B89" s="85" t="s">
        <v>72</v>
      </c>
      <c r="C89" s="86"/>
      <c r="D89" s="86"/>
      <c r="E89" s="87">
        <f>SUM(E8:E88)</f>
        <v>21500</v>
      </c>
    </row>
    <row r="90" spans="1:5" ht="18.75">
      <c r="A90" s="88"/>
      <c r="B90" s="89" t="s">
        <v>73</v>
      </c>
      <c r="C90" s="90"/>
      <c r="D90" s="90"/>
      <c r="E90" s="91">
        <f>E89*0.13</f>
        <v>2795</v>
      </c>
    </row>
    <row r="91" spans="1:5" ht="18.75">
      <c r="A91" s="88"/>
      <c r="B91" s="89" t="s">
        <v>74</v>
      </c>
      <c r="C91" s="90"/>
      <c r="D91" s="90"/>
      <c r="E91" s="91">
        <f>SUM(E89:E90)</f>
        <v>24295</v>
      </c>
    </row>
    <row r="92" spans="1:5" ht="18.75">
      <c r="A92" s="88"/>
      <c r="B92" s="89" t="s">
        <v>75</v>
      </c>
      <c r="C92" s="92"/>
      <c r="D92" s="92"/>
      <c r="E92" s="91">
        <v>17515</v>
      </c>
    </row>
    <row r="93" spans="1:5" ht="19.5" thickBot="1">
      <c r="A93" s="93"/>
      <c r="B93" s="94" t="s">
        <v>76</v>
      </c>
      <c r="C93" s="95"/>
      <c r="D93" s="95"/>
      <c r="E93" s="96">
        <f>E91-E92</f>
        <v>6780</v>
      </c>
    </row>
    <row r="94" spans="1:5" ht="18.75">
      <c r="A94" s="97" t="s">
        <v>77</v>
      </c>
    </row>
    <row r="95" spans="1:5">
      <c r="A95" s="98" t="s">
        <v>78</v>
      </c>
    </row>
    <row r="96" spans="1:5">
      <c r="A96" s="98" t="s">
        <v>79</v>
      </c>
    </row>
  </sheetData>
  <mergeCells count="20">
    <mergeCell ref="A53:A56"/>
    <mergeCell ref="A8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81:A84"/>
    <mergeCell ref="A85:A88"/>
    <mergeCell ref="A57:A60"/>
    <mergeCell ref="A61:A64"/>
    <mergeCell ref="A65:A68"/>
    <mergeCell ref="A69:A72"/>
    <mergeCell ref="A73:A76"/>
    <mergeCell ref="A77:A80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FACTURE</vt:lpstr>
      <vt:lpstr>MODEL COM</vt:lpstr>
      <vt:lpstr>Feuil2</vt:lpstr>
      <vt:lpstr>FACTURE!Impression_des_titres</vt:lpstr>
      <vt:lpstr>'MODEL COM'!Zone_d_impression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cp:lastPrinted>2021-11-22T15:17:27Z</cp:lastPrinted>
  <dcterms:created xsi:type="dcterms:W3CDTF">2019-07-31T18:30:14Z</dcterms:created>
  <dcterms:modified xsi:type="dcterms:W3CDTF">2021-11-22T15:17:33Z</dcterms:modified>
</cp:coreProperties>
</file>